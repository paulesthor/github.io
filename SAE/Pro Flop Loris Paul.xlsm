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7.xml" ContentType="application/vnd.ms-office.activeX+xml"/>
  <Override PartName="/xl/activeX/activeX8.xml" ContentType="application/vnd.ms-office.activeX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activeX/activeX9.xml" ContentType="application/vnd.ms-office.activeX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estho\Desktop\BUT SD\SAE Site portefolio\DeepSeek\SAE\"/>
    </mc:Choice>
  </mc:AlternateContent>
  <xr:revisionPtr revIDLastSave="0" documentId="13_ncr:1_{F6845EAA-4969-43BA-9076-6D53186A5034}" xr6:coauthVersionLast="47" xr6:coauthVersionMax="47" xr10:uidLastSave="{00000000-0000-0000-0000-000000000000}"/>
  <bookViews>
    <workbookView xWindow="-120" yWindow="-120" windowWidth="38640" windowHeight="21120" xr2:uid="{5633B4E2-2369-44DA-9D0D-6F1805C66B4C}"/>
  </bookViews>
  <sheets>
    <sheet name="Menu" sheetId="3" r:id="rId1"/>
    <sheet name="Coef - BUT1" sheetId="1" r:id="rId2"/>
    <sheet name="Moy - BUT1" sheetId="5" r:id="rId3"/>
    <sheet name="Recap" sheetId="6" state="hidden" r:id="rId4"/>
    <sheet name="Feuil1" sheetId="2" state="hidden" r:id="rId5"/>
  </sheets>
  <functionGroups builtInGroupCount="19"/>
  <definedNames>
    <definedName name="NoteSem1">Feuil1!$C$10:$D$27</definedName>
    <definedName name="NoteSem2">Feuil1!$C$30:$D$56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11" i="2" l="1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10" i="2"/>
  <c r="F42" i="5" l="1" a="1"/>
  <c r="F42" i="5" s="1"/>
  <c r="K1" i="2" s="1" a="1"/>
  <c r="K1" i="2" s="1"/>
  <c r="F32" i="5" a="1"/>
  <c r="F32" i="5" s="1"/>
  <c r="J1" i="2" s="1" a="1"/>
  <c r="J1" i="2" s="1"/>
  <c r="F23" i="5" a="1"/>
  <c r="F23" i="5" s="1"/>
  <c r="I1" i="2" s="1" a="1"/>
  <c r="I1" i="2" s="1"/>
  <c r="F14" i="5" a="1"/>
  <c r="F14" i="5" s="1"/>
  <c r="G1" i="2" s="1" a="1"/>
  <c r="G1" i="2" s="1"/>
  <c r="F9" i="5" a="1"/>
  <c r="F9" i="5" s="1"/>
  <c r="F1" i="2" s="1" a="1"/>
  <c r="F1" i="2" s="1"/>
  <c r="F3" i="5" a="1"/>
  <c r="F3" i="5" s="1"/>
  <c r="E1" i="2" s="1" a="1"/>
  <c r="E1" i="2" s="1"/>
  <c r="H9" i="5" l="1"/>
  <c r="H32" i="5" l="1"/>
  <c r="C6" i="6"/>
  <c r="D6" i="6" s="1"/>
  <c r="C5" i="6"/>
  <c r="D5" i="6" s="1"/>
  <c r="C4" i="6"/>
  <c r="D4" i="6" s="1"/>
  <c r="A8" i="6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<sst xmlns="http://schemas.openxmlformats.org/spreadsheetml/2006/main" count="167" uniqueCount="47">
  <si>
    <t>Semestre 1</t>
  </si>
  <si>
    <t>Compétence 1 :
Traiter des données à des fins décisionnelles</t>
  </si>
  <si>
    <t>Tableur et Reporting</t>
  </si>
  <si>
    <t>Bases de données relationnelles 1</t>
  </si>
  <si>
    <t>Bases de la programmation 1</t>
  </si>
  <si>
    <t>PPP1</t>
  </si>
  <si>
    <t xml:space="preserve">SAÉ - Reporting à partir de données stockées dans un SGBD relationnel </t>
  </si>
  <si>
    <t>SAÉ - Écriture et lecture de fichiers de données</t>
  </si>
  <si>
    <t>Compétence 2 :
Analyser statistiquement les données</t>
  </si>
  <si>
    <t>Statistique descriptive 1</t>
  </si>
  <si>
    <t>Probabilités 1</t>
  </si>
  <si>
    <t>Mathématiques - analyse</t>
  </si>
  <si>
    <t>SAÉ - Préparation et synthèse d'un tableau de données en vue d'une analyse exploratoire simple</t>
  </si>
  <si>
    <t>Compétence 3 :
Valoriser une production dans un contexte professionnel</t>
  </si>
  <si>
    <t>Initiation à l'anglais de spécialité</t>
  </si>
  <si>
    <t>Communication de l'information et recherche documentaire</t>
  </si>
  <si>
    <t xml:space="preserve">Découverte des données de l’environnement entrepreneurial et économique </t>
  </si>
  <si>
    <t>SAÉ - Apprendre en situation la production de données en entreprise</t>
  </si>
  <si>
    <t>SAÉ - Présentation en anglais d'un territoire économique et culturel</t>
  </si>
  <si>
    <t>SAÉ - Mise en oeuvre d'une enquête</t>
  </si>
  <si>
    <t>Semestre 2</t>
  </si>
  <si>
    <t>Reporting et datavisualisation</t>
  </si>
  <si>
    <t>Bases de données relationnelles 2</t>
  </si>
  <si>
    <t>Bases de la programmation 2</t>
  </si>
  <si>
    <t>Programmation statistique</t>
  </si>
  <si>
    <t>PPP2</t>
  </si>
  <si>
    <t>SAÉ - Conception et implémentation d'une base de données</t>
  </si>
  <si>
    <t>SAÉ - Datavisualisation</t>
  </si>
  <si>
    <t>SAÉ - Analyse de données, reporting et datavisualisation</t>
  </si>
  <si>
    <t>SAÉ - Portfolio</t>
  </si>
  <si>
    <t>Statistique descriptive 2</t>
  </si>
  <si>
    <t>Probabilités 2</t>
  </si>
  <si>
    <t>Bases de l'algèbre</t>
  </si>
  <si>
    <t>Statistique inférentielle</t>
  </si>
  <si>
    <t>SAÉ - Estimation par échantillonnage</t>
  </si>
  <si>
    <t>SAÉ - Régression sur des données réelles</t>
  </si>
  <si>
    <t>Approfondissement de l'anglais de spécialité</t>
  </si>
  <si>
    <t>Communication et sémiologie</t>
  </si>
  <si>
    <t>Étude des données de l'environnement entrepreneurial et économique</t>
  </si>
  <si>
    <t>SAÉ - Construction et présentation d'indicateurs de performance</t>
  </si>
  <si>
    <t xml:space="preserve">PPP1 </t>
  </si>
  <si>
    <t xml:space="preserve">Recap de l'année </t>
  </si>
  <si>
    <t xml:space="preserve">Compétence 1 :
Traiter des données à des fins décisionnelles </t>
  </si>
  <si>
    <t xml:space="preserve">Compétence 3 :
Valoriser une production dans un contexte professionnel </t>
  </si>
  <si>
    <t>Devoir n° 1</t>
  </si>
  <si>
    <t>Devoir n° 2</t>
  </si>
  <si>
    <t>Devoir n° 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</si>
</sst>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-* #,##0.00_-;\-* #,##0.00_-;_-* &quot;-&quot;??_-;_-@_-"/>
  </numFmts>
  <fonts count="7" x14ac:knownFonts="1"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i/>
      <sz val="11"/>
      <color rgb="FF000000"/>
      <name val="Calibri"/>
      <family val="2"/>
      <scheme val="minor"/>
    </font>
    <font>
      <i/>
      <sz val="11"/>
      <name val="Calibri"/>
      <family val="2"/>
      <scheme val="minor"/>
    </font>
    <font>
      <sz val="11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D9D9D9"/>
        <bgColor indexed="64"/>
      </patternFill>
    </fill>
  </fills>
  <borders count="13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43" fontId="6" fillId="0" borderId="0" applyFont="0" applyFill="0" applyBorder="0" applyAlignment="0" applyProtection="0"/>
  </cellStyleXfs>
  <cellXfs count="63">
    <xf numFmtId="0" fontId="0" fillId="0" borderId="0" xfId="0"/>
    <xf numFmtId="0" fontId="3" fillId="2" borderId="4" xfId="0" applyFont="1" applyFill="1" applyBorder="1" applyAlignment="1">
      <alignment horizontal="center" vertical="center"/>
    </xf>
    <xf numFmtId="0" fontId="3" fillId="3" borderId="5" xfId="0" applyFont="1" applyFill="1" applyBorder="1" applyAlignment="1">
      <alignment vertical="center"/>
    </xf>
    <xf numFmtId="0" fontId="2" fillId="0" borderId="0" xfId="0" applyFont="1" applyAlignment="1">
      <alignment horizontal="left" vertical="center" wrapText="1"/>
    </xf>
    <xf numFmtId="0" fontId="4" fillId="0" borderId="0" xfId="0" applyFont="1" applyAlignment="1">
      <alignment horizontal="left" vertical="center"/>
    </xf>
    <xf numFmtId="0" fontId="5" fillId="0" borderId="0" xfId="0" applyFont="1" applyAlignment="1">
      <alignment horizontal="center" vertical="center"/>
    </xf>
    <xf numFmtId="0" fontId="3" fillId="4" borderId="3" xfId="0" applyFont="1" applyFill="1" applyBorder="1" applyAlignment="1">
      <alignment vertical="center" wrapText="1"/>
    </xf>
    <xf numFmtId="0" fontId="3" fillId="4" borderId="3" xfId="0" applyFont="1" applyFill="1" applyBorder="1" applyAlignment="1">
      <alignment horizontal="center" vertical="center" wrapText="1"/>
    </xf>
    <xf numFmtId="0" fontId="3" fillId="0" borderId="0" xfId="0" applyFont="1" applyAlignment="1">
      <alignment vertical="center"/>
    </xf>
    <xf numFmtId="0" fontId="3" fillId="5" borderId="3" xfId="0" applyFont="1" applyFill="1" applyBorder="1" applyAlignment="1">
      <alignment vertical="center" wrapText="1"/>
    </xf>
    <xf numFmtId="0" fontId="3" fillId="5" borderId="3" xfId="0" applyFont="1" applyFill="1" applyBorder="1" applyAlignment="1">
      <alignment horizontal="center" vertical="center" wrapText="1"/>
    </xf>
    <xf numFmtId="0" fontId="3" fillId="2" borderId="4" xfId="0" applyFont="1" applyFill="1" applyBorder="1" applyAlignment="1">
      <alignment vertical="center"/>
    </xf>
    <xf numFmtId="0" fontId="3" fillId="3" borderId="5" xfId="0" applyFont="1" applyFill="1" applyBorder="1" applyAlignment="1">
      <alignment vertical="center" wrapText="1"/>
    </xf>
    <xf numFmtId="0" fontId="3" fillId="0" borderId="0" xfId="0" applyFont="1" applyAlignment="1">
      <alignment horizontal="center" vertical="center"/>
    </xf>
    <xf numFmtId="0" fontId="3" fillId="6" borderId="3" xfId="0" applyFont="1" applyFill="1" applyBorder="1" applyAlignment="1">
      <alignment vertical="center" wrapText="1"/>
    </xf>
    <xf numFmtId="0" fontId="3" fillId="6" borderId="3" xfId="0" applyFont="1" applyFill="1" applyBorder="1" applyAlignment="1">
      <alignment horizontal="center" vertical="center" wrapText="1"/>
    </xf>
    <xf numFmtId="0" fontId="3" fillId="7" borderId="3" xfId="0" applyFont="1" applyFill="1" applyBorder="1" applyAlignment="1">
      <alignment vertical="center" wrapText="1"/>
    </xf>
    <xf numFmtId="0" fontId="3" fillId="0" borderId="0" xfId="0" applyFont="1"/>
    <xf numFmtId="0" fontId="0" fillId="0" borderId="0" xfId="0" applyAlignment="1">
      <alignment horizontal="center" vertical="center"/>
    </xf>
    <xf numFmtId="43" fontId="0" fillId="0" borderId="0" xfId="1" applyFont="1" applyAlignment="1">
      <alignment horizontal="center" vertical="center"/>
    </xf>
    <xf numFmtId="0" fontId="3" fillId="2" borderId="5" xfId="0" applyFont="1" applyFill="1" applyBorder="1" applyAlignment="1">
      <alignment vertical="center"/>
    </xf>
    <xf numFmtId="0" fontId="3" fillId="2" borderId="5" xfId="0" applyFont="1" applyFill="1" applyBorder="1" applyAlignment="1">
      <alignment horizontal="center" vertical="center"/>
    </xf>
    <xf numFmtId="0" fontId="3" fillId="4" borderId="5" xfId="0" applyFont="1" applyFill="1" applyBorder="1" applyAlignment="1">
      <alignment vertical="center" wrapText="1"/>
    </xf>
    <xf numFmtId="0" fontId="3" fillId="4" borderId="5" xfId="0" applyFont="1" applyFill="1" applyBorder="1" applyAlignment="1">
      <alignment horizontal="center" vertical="center" wrapText="1"/>
    </xf>
    <xf numFmtId="0" fontId="3" fillId="5" borderId="5" xfId="0" applyFont="1" applyFill="1" applyBorder="1" applyAlignment="1">
      <alignment vertical="center" wrapText="1"/>
    </xf>
    <xf numFmtId="0" fontId="3" fillId="5" borderId="5" xfId="0" applyFont="1" applyFill="1" applyBorder="1" applyAlignment="1">
      <alignment horizontal="center" vertical="center" wrapText="1"/>
    </xf>
    <xf numFmtId="0" fontId="3" fillId="0" borderId="5" xfId="0" applyFont="1" applyBorder="1"/>
    <xf numFmtId="0" fontId="0" fillId="0" borderId="5" xfId="0" applyBorder="1"/>
    <xf numFmtId="0" fontId="0" fillId="0" borderId="5" xfId="0" applyBorder="1" applyAlignment="1">
      <alignment horizontal="center" vertical="center"/>
    </xf>
    <xf numFmtId="0" fontId="3" fillId="6" borderId="5" xfId="0" applyFont="1" applyFill="1" applyBorder="1" applyAlignment="1">
      <alignment vertical="center" wrapText="1"/>
    </xf>
    <xf numFmtId="0" fontId="3" fillId="6" borderId="5" xfId="0" applyFont="1" applyFill="1" applyBorder="1" applyAlignment="1">
      <alignment horizontal="center" vertical="center" wrapText="1"/>
    </xf>
    <xf numFmtId="0" fontId="3" fillId="7" borderId="5" xfId="0" applyFont="1" applyFill="1" applyBorder="1" applyAlignment="1">
      <alignment vertical="center" wrapText="1"/>
    </xf>
    <xf numFmtId="0" fontId="3" fillId="3" borderId="12" xfId="0" applyFont="1" applyFill="1" applyBorder="1" applyAlignment="1">
      <alignment vertical="center"/>
    </xf>
    <xf numFmtId="0" fontId="1" fillId="0" borderId="5" xfId="0" applyFont="1" applyBorder="1"/>
    <xf numFmtId="0" fontId="1" fillId="0" borderId="1" xfId="0" applyFont="1" applyBorder="1"/>
    <xf numFmtId="43" fontId="0" fillId="0" borderId="0" xfId="0" applyNumberFormat="1"/>
    <xf numFmtId="0" fontId="0" fillId="0" borderId="0" xfId="0" applyAlignment="1">
      <alignment horizontal="center"/>
    </xf>
    <xf numFmtId="0" fontId="3" fillId="0" borderId="0" xfId="0" applyFont="1" applyAlignment="1">
      <alignment horizontal="center"/>
    </xf>
    <xf numFmtId="0" fontId="2" fillId="6" borderId="8" xfId="0" applyFont="1" applyFill="1" applyBorder="1" applyAlignment="1">
      <alignment horizontal="left" vertical="center" wrapText="1"/>
    </xf>
    <xf numFmtId="0" fontId="2" fillId="6" borderId="6" xfId="0" applyFont="1" applyFill="1" applyBorder="1" applyAlignment="1">
      <alignment horizontal="left" vertical="center" wrapText="1"/>
    </xf>
    <xf numFmtId="0" fontId="2" fillId="6" borderId="7" xfId="0" applyFont="1" applyFill="1" applyBorder="1" applyAlignment="1">
      <alignment horizontal="left" vertical="center" wrapText="1"/>
    </xf>
    <xf numFmtId="0" fontId="2" fillId="5" borderId="8" xfId="0" applyFont="1" applyFill="1" applyBorder="1" applyAlignment="1">
      <alignment horizontal="left" vertical="center" wrapText="1"/>
    </xf>
    <xf numFmtId="0" fontId="2" fillId="5" borderId="6" xfId="0" applyFont="1" applyFill="1" applyBorder="1" applyAlignment="1">
      <alignment horizontal="left" vertical="center" wrapText="1"/>
    </xf>
    <xf numFmtId="0" fontId="2" fillId="5" borderId="7" xfId="0" applyFont="1" applyFill="1" applyBorder="1" applyAlignment="1">
      <alignment horizontal="left" vertical="center" wrapText="1"/>
    </xf>
    <xf numFmtId="0" fontId="1" fillId="0" borderId="1" xfId="0" applyFont="1" applyBorder="1" applyAlignment="1">
      <alignment horizontal="center"/>
    </xf>
    <xf numFmtId="0" fontId="2" fillId="2" borderId="2" xfId="0" applyFont="1" applyFill="1" applyBorder="1" applyAlignment="1">
      <alignment horizontal="left" vertical="center" wrapText="1"/>
    </xf>
    <xf numFmtId="0" fontId="2" fillId="2" borderId="6" xfId="0" applyFont="1" applyFill="1" applyBorder="1" applyAlignment="1">
      <alignment horizontal="left" vertical="center" wrapText="1"/>
    </xf>
    <xf numFmtId="0" fontId="2" fillId="2" borderId="7" xfId="0" applyFont="1" applyFill="1" applyBorder="1" applyAlignment="1">
      <alignment horizontal="left" vertical="center" wrapText="1"/>
    </xf>
    <xf numFmtId="0" fontId="2" fillId="4" borderId="8" xfId="0" applyFont="1" applyFill="1" applyBorder="1" applyAlignment="1">
      <alignment horizontal="left" vertical="center" wrapText="1"/>
    </xf>
    <xf numFmtId="0" fontId="2" fillId="4" borderId="6" xfId="0" applyFont="1" applyFill="1" applyBorder="1" applyAlignment="1">
      <alignment horizontal="left" vertical="center" wrapText="1"/>
    </xf>
    <xf numFmtId="0" fontId="2" fillId="4" borderId="7" xfId="0" applyFont="1" applyFill="1" applyBorder="1" applyAlignment="1">
      <alignment horizontal="left" vertical="center" wrapText="1"/>
    </xf>
    <xf numFmtId="0" fontId="2" fillId="5" borderId="9" xfId="0" applyFont="1" applyFill="1" applyBorder="1" applyAlignment="1">
      <alignment horizontal="left" vertical="center" wrapText="1"/>
    </xf>
    <xf numFmtId="0" fontId="2" fillId="5" borderId="10" xfId="0" applyFont="1" applyFill="1" applyBorder="1" applyAlignment="1">
      <alignment horizontal="left" vertical="center" wrapText="1"/>
    </xf>
    <xf numFmtId="0" fontId="2" fillId="5" borderId="11" xfId="0" applyFont="1" applyFill="1" applyBorder="1" applyAlignment="1">
      <alignment horizontal="left" vertical="center" wrapText="1"/>
    </xf>
    <xf numFmtId="0" fontId="1" fillId="0" borderId="0" xfId="0" applyFont="1" applyAlignment="1">
      <alignment horizontal="center"/>
    </xf>
    <xf numFmtId="0" fontId="2" fillId="2" borderId="8" xfId="0" applyFont="1" applyFill="1" applyBorder="1" applyAlignment="1">
      <alignment horizontal="left" vertical="center" wrapText="1"/>
    </xf>
    <xf numFmtId="0" fontId="0" fillId="0" borderId="0" xfId="0" applyAlignment="1">
      <alignment horizontal="center" vertical="center"/>
    </xf>
    <xf numFmtId="0" fontId="2" fillId="2" borderId="5" xfId="0" applyFont="1" applyFill="1" applyBorder="1" applyAlignment="1">
      <alignment horizontal="left" vertical="center" wrapText="1"/>
    </xf>
    <xf numFmtId="0" fontId="2" fillId="4" borderId="5" xfId="0" applyFont="1" applyFill="1" applyBorder="1" applyAlignment="1">
      <alignment horizontal="left" vertical="center" wrapText="1"/>
    </xf>
    <xf numFmtId="0" fontId="2" fillId="5" borderId="5" xfId="0" applyFont="1" applyFill="1" applyBorder="1" applyAlignment="1">
      <alignment horizontal="left" vertical="center" wrapText="1"/>
    </xf>
    <xf numFmtId="0" fontId="2" fillId="6" borderId="5" xfId="0" applyFont="1" applyFill="1" applyBorder="1" applyAlignment="1">
      <alignment horizontal="left" vertical="center" wrapText="1"/>
    </xf>
    <xf numFmtId="43" fontId="0" fillId="0" borderId="0" xfId="1" applyFont="1" applyAlignment="1">
      <alignment horizontal="center" vertical="center"/>
    </xf>
    <xf numFmtId="43" fontId="0" fillId="0" borderId="0" xfId="0" applyNumberFormat="1" applyAlignment="1">
      <alignment horizontal="center" wrapText="1"/>
    </xf>
  </cellXfs>
  <cellStyles count="2">
    <cellStyle name="Milliers" xfId="1" builtinId="3"/>
    <cellStyle name="Normal" xfId="0" builtinId="0"/>
  </cellStyles>
  <dxfs count="6"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Semestre 1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radarChart>
        <c:radarStyle val="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Feuil1!$C$10:$C$27</c:f>
              <c:strCache>
                <c:ptCount val="18"/>
                <c:pt idx="0">
                  <c:v>Tableur et Reporting</c:v>
                </c:pt>
                <c:pt idx="1">
                  <c:v>Bases de données relationnelles 1</c:v>
                </c:pt>
                <c:pt idx="2">
                  <c:v>Bases de la programmation 1</c:v>
                </c:pt>
                <c:pt idx="3">
                  <c:v>PPP1 </c:v>
                </c:pt>
                <c:pt idx="4">
                  <c:v>SAÉ - Reporting à partir de données stockées dans un SGBD relationnel </c:v>
                </c:pt>
                <c:pt idx="5">
                  <c:v>SAÉ - Écriture et lecture de fichiers de données</c:v>
                </c:pt>
                <c:pt idx="6">
                  <c:v>Statistique descriptive 1</c:v>
                </c:pt>
                <c:pt idx="7">
                  <c:v>Probabilités 1</c:v>
                </c:pt>
                <c:pt idx="8">
                  <c:v>Mathématiques - analyse</c:v>
                </c:pt>
                <c:pt idx="9">
                  <c:v>PPP1</c:v>
                </c:pt>
                <c:pt idx="10">
                  <c:v>SAÉ - Préparation et synthèse d'un tableau de données en vue d'une analyse exploratoire simple</c:v>
                </c:pt>
                <c:pt idx="11">
                  <c:v>Initiation à l'anglais de spécialité</c:v>
                </c:pt>
                <c:pt idx="12">
                  <c:v>Communication de l'information et recherche documentaire</c:v>
                </c:pt>
                <c:pt idx="13">
                  <c:v>Découverte des données de l’environnement entrepreneurial et économique </c:v>
                </c:pt>
                <c:pt idx="14">
                  <c:v>PPP1</c:v>
                </c:pt>
                <c:pt idx="15">
                  <c:v>SAÉ - Apprendre en situation la production de données en entreprise</c:v>
                </c:pt>
                <c:pt idx="16">
                  <c:v>SAÉ - Présentation en anglais d'un territoire économique et culturel</c:v>
                </c:pt>
                <c:pt idx="17">
                  <c:v>SAÉ - Mise en oeuvre d'une enquête</c:v>
                </c:pt>
              </c:strCache>
            </c:strRef>
          </c:cat>
          <c:val>
            <c:numRef>
              <c:f>Feuil1!$D$10:$D$27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17.5</c:v>
                </c:pt>
                <c:pt idx="7">
                  <c:v>18</c:v>
                </c:pt>
                <c:pt idx="8">
                  <c:v>8.6666669845581055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51A-43D2-8C4E-A4E32B5A17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84880656"/>
        <c:axId val="1284882096"/>
      </c:radarChart>
      <c:catAx>
        <c:axId val="12848806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84882096"/>
        <c:crosses val="autoZero"/>
        <c:auto val="1"/>
        <c:lblAlgn val="ctr"/>
        <c:lblOffset val="100"/>
        <c:noMultiLvlLbl val="0"/>
      </c:catAx>
      <c:valAx>
        <c:axId val="1284882096"/>
        <c:scaling>
          <c:orientation val="minMax"/>
          <c:max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848806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radarChart>
        <c:radarStyle val="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Feuil1!$C$10:$C$27</c:f>
              <c:strCache>
                <c:ptCount val="18"/>
                <c:pt idx="0">
                  <c:v>Tableur et Reporting</c:v>
                </c:pt>
                <c:pt idx="1">
                  <c:v>Bases de données relationnelles 1</c:v>
                </c:pt>
                <c:pt idx="2">
                  <c:v>Bases de la programmation 1</c:v>
                </c:pt>
                <c:pt idx="3">
                  <c:v>PPP1 </c:v>
                </c:pt>
                <c:pt idx="4">
                  <c:v>SAÉ - Reporting à partir de données stockées dans un SGBD relationnel </c:v>
                </c:pt>
                <c:pt idx="5">
                  <c:v>SAÉ - Écriture et lecture de fichiers de données</c:v>
                </c:pt>
                <c:pt idx="6">
                  <c:v>Statistique descriptive 1</c:v>
                </c:pt>
                <c:pt idx="7">
                  <c:v>Probabilités 1</c:v>
                </c:pt>
                <c:pt idx="8">
                  <c:v>Mathématiques - analyse</c:v>
                </c:pt>
                <c:pt idx="9">
                  <c:v>PPP1</c:v>
                </c:pt>
                <c:pt idx="10">
                  <c:v>SAÉ - Préparation et synthèse d'un tableau de données en vue d'une analyse exploratoire simple</c:v>
                </c:pt>
                <c:pt idx="11">
                  <c:v>Initiation à l'anglais de spécialité</c:v>
                </c:pt>
                <c:pt idx="12">
                  <c:v>Communication de l'information et recherche documentaire</c:v>
                </c:pt>
                <c:pt idx="13">
                  <c:v>Découverte des données de l’environnement entrepreneurial et économique </c:v>
                </c:pt>
                <c:pt idx="14">
                  <c:v>PPP1</c:v>
                </c:pt>
                <c:pt idx="15">
                  <c:v>SAÉ - Apprendre en situation la production de données en entreprise</c:v>
                </c:pt>
                <c:pt idx="16">
                  <c:v>SAÉ - Présentation en anglais d'un territoire économique et culturel</c:v>
                </c:pt>
                <c:pt idx="17">
                  <c:v>SAÉ - Mise en oeuvre d'une enquête</c:v>
                </c:pt>
              </c:strCache>
            </c:strRef>
          </c:cat>
          <c:val>
            <c:numRef>
              <c:f>Feuil1!$D$10:$D$27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17.5</c:v>
                </c:pt>
                <c:pt idx="7">
                  <c:v>18</c:v>
                </c:pt>
                <c:pt idx="8">
                  <c:v>8.6666669845581055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6E8-47DE-9AEC-02DA84332235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axId val="435253248"/>
        <c:axId val="435256576"/>
      </c:radarChart>
      <c:catAx>
        <c:axId val="4352532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35256576"/>
        <c:crosses val="autoZero"/>
        <c:auto val="1"/>
        <c:lblAlgn val="ctr"/>
        <c:lblOffset val="100"/>
        <c:noMultiLvlLbl val="0"/>
      </c:catAx>
      <c:valAx>
        <c:axId val="4352565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352532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Semestre 1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radarChart>
        <c:radarStyle val="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Feuil1!$C$10:$C$27</c:f>
              <c:strCache>
                <c:ptCount val="18"/>
                <c:pt idx="0">
                  <c:v>Tableur et Reporting</c:v>
                </c:pt>
                <c:pt idx="1">
                  <c:v>Bases de données relationnelles 1</c:v>
                </c:pt>
                <c:pt idx="2">
                  <c:v>Bases de la programmation 1</c:v>
                </c:pt>
                <c:pt idx="3">
                  <c:v>PPP1 </c:v>
                </c:pt>
                <c:pt idx="4">
                  <c:v>SAÉ - Reporting à partir de données stockées dans un SGBD relationnel </c:v>
                </c:pt>
                <c:pt idx="5">
                  <c:v>SAÉ - Écriture et lecture de fichiers de données</c:v>
                </c:pt>
                <c:pt idx="6">
                  <c:v>Statistique descriptive 1</c:v>
                </c:pt>
                <c:pt idx="7">
                  <c:v>Probabilités 1</c:v>
                </c:pt>
                <c:pt idx="8">
                  <c:v>Mathématiques - analyse</c:v>
                </c:pt>
                <c:pt idx="9">
                  <c:v>PPP1</c:v>
                </c:pt>
                <c:pt idx="10">
                  <c:v>SAÉ - Préparation et synthèse d'un tableau de données en vue d'une analyse exploratoire simple</c:v>
                </c:pt>
                <c:pt idx="11">
                  <c:v>Initiation à l'anglais de spécialité</c:v>
                </c:pt>
                <c:pt idx="12">
                  <c:v>Communication de l'information et recherche documentaire</c:v>
                </c:pt>
                <c:pt idx="13">
                  <c:v>Découverte des données de l’environnement entrepreneurial et économique </c:v>
                </c:pt>
                <c:pt idx="14">
                  <c:v>PPP1</c:v>
                </c:pt>
                <c:pt idx="15">
                  <c:v>SAÉ - Apprendre en situation la production de données en entreprise</c:v>
                </c:pt>
                <c:pt idx="16">
                  <c:v>SAÉ - Présentation en anglais d'un territoire économique et culturel</c:v>
                </c:pt>
                <c:pt idx="17">
                  <c:v>SAÉ - Mise en oeuvre d'une enquête</c:v>
                </c:pt>
              </c:strCache>
            </c:strRef>
          </c:cat>
          <c:val>
            <c:numRef>
              <c:f>Feuil1!$D$10:$D$27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17.5</c:v>
                </c:pt>
                <c:pt idx="7">
                  <c:v>18</c:v>
                </c:pt>
                <c:pt idx="8">
                  <c:v>8.6666669845581055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E1-4B76-B5A5-14440D4321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84880656"/>
        <c:axId val="1284882096"/>
      </c:radarChart>
      <c:catAx>
        <c:axId val="12848806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84882096"/>
        <c:crosses val="autoZero"/>
        <c:auto val="1"/>
        <c:lblAlgn val="ctr"/>
        <c:lblOffset val="100"/>
        <c:noMultiLvlLbl val="0"/>
      </c:catAx>
      <c:valAx>
        <c:axId val="1284882096"/>
        <c:scaling>
          <c:orientation val="minMax"/>
          <c:max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848806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Semestre</a:t>
            </a:r>
            <a:r>
              <a:rPr lang="fr-FR" baseline="0"/>
              <a:t> 2</a:t>
            </a:r>
            <a:endParaRPr lang="fr-F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radarChart>
        <c:radarStyle val="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Feuil1!$C$30:$C$56</c:f>
              <c:strCache>
                <c:ptCount val="27"/>
                <c:pt idx="0">
                  <c:v>Reporting et datavisualisation</c:v>
                </c:pt>
                <c:pt idx="1">
                  <c:v>Bases de données relationnelles 2</c:v>
                </c:pt>
                <c:pt idx="2">
                  <c:v>Bases de la programmation 2</c:v>
                </c:pt>
                <c:pt idx="3">
                  <c:v>Programmation statistique</c:v>
                </c:pt>
                <c:pt idx="4">
                  <c:v>PPP2</c:v>
                </c:pt>
                <c:pt idx="5">
                  <c:v>SAÉ - Conception et implémentation d'une base de données</c:v>
                </c:pt>
                <c:pt idx="6">
                  <c:v>SAÉ - Datavisualisation</c:v>
                </c:pt>
                <c:pt idx="7">
                  <c:v>SAÉ - Analyse de données, reporting et datavisualisation</c:v>
                </c:pt>
                <c:pt idx="8">
                  <c:v>SAÉ - Portfolio</c:v>
                </c:pt>
                <c:pt idx="9">
                  <c:v>Statistique descriptive 2</c:v>
                </c:pt>
                <c:pt idx="10">
                  <c:v>Probabilités 2</c:v>
                </c:pt>
                <c:pt idx="11">
                  <c:v>Bases de l'algèbre</c:v>
                </c:pt>
                <c:pt idx="12">
                  <c:v>Statistique inférentielle</c:v>
                </c:pt>
                <c:pt idx="13">
                  <c:v>PPP2</c:v>
                </c:pt>
                <c:pt idx="14">
                  <c:v>SAÉ - Estimation par échantillonnage</c:v>
                </c:pt>
                <c:pt idx="15">
                  <c:v>SAÉ - Régression sur des données réelles</c:v>
                </c:pt>
                <c:pt idx="16">
                  <c:v>SAÉ - Datavisualisation</c:v>
                </c:pt>
                <c:pt idx="17">
                  <c:v>SAÉ - Analyse de données, reporting et datavisualisation</c:v>
                </c:pt>
                <c:pt idx="18">
                  <c:v>SAÉ - Portfolio</c:v>
                </c:pt>
                <c:pt idx="19">
                  <c:v>Approfondissement de l'anglais de spécialité</c:v>
                </c:pt>
                <c:pt idx="20">
                  <c:v>Communication et sémiologie</c:v>
                </c:pt>
                <c:pt idx="21">
                  <c:v>Étude des données de l'environnement entrepreneurial et économique</c:v>
                </c:pt>
                <c:pt idx="22">
                  <c:v>PPP2</c:v>
                </c:pt>
                <c:pt idx="23">
                  <c:v>SAÉ - Datavisualisation</c:v>
                </c:pt>
                <c:pt idx="24">
                  <c:v>SAÉ - Construction et présentation d'indicateurs de performance</c:v>
                </c:pt>
                <c:pt idx="25">
                  <c:v>SAÉ - Analyse de données, reporting et datavisualisation</c:v>
                </c:pt>
                <c:pt idx="26">
                  <c:v>SAÉ - Portfolio</c:v>
                </c:pt>
              </c:strCache>
            </c:strRef>
          </c:cat>
          <c:val>
            <c:numRef>
              <c:f>Feuil1!$D$30:$D$56</c:f>
              <c:numCache>
                <c:formatCode>General</c:formatCode>
                <c:ptCount val="2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A83-4521-A8E1-FA35C80947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2319264"/>
        <c:axId val="1284879216"/>
      </c:radarChart>
      <c:catAx>
        <c:axId val="1223192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84879216"/>
        <c:crosses val="autoZero"/>
        <c:auto val="1"/>
        <c:lblAlgn val="ctr"/>
        <c:lblOffset val="100"/>
        <c:noMultiLvlLbl val="0"/>
      </c:catAx>
      <c:valAx>
        <c:axId val="1284879216"/>
        <c:scaling>
          <c:orientation val="minMax"/>
          <c:max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2319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3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3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2.emf"/><Relationship Id="rId7" Type="http://schemas.openxmlformats.org/officeDocument/2006/relationships/image" Target="../media/image7.emf"/><Relationship Id="rId2" Type="http://schemas.openxmlformats.org/officeDocument/2006/relationships/image" Target="../media/image4.emf"/><Relationship Id="rId1" Type="http://schemas.openxmlformats.org/officeDocument/2006/relationships/image" Target="../media/image3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9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133350</xdr:colOff>
          <xdr:row>9</xdr:row>
          <xdr:rowOff>95250</xdr:rowOff>
        </xdr:from>
        <xdr:to>
          <xdr:col>4</xdr:col>
          <xdr:colOff>685800</xdr:colOff>
          <xdr:row>11</xdr:row>
          <xdr:rowOff>180975</xdr:rowOff>
        </xdr:to>
        <xdr:sp macro="" textlink="">
          <xdr:nvSpPr>
            <xdr:cNvPr id="1025" name="Userform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171450</xdr:colOff>
          <xdr:row>13</xdr:row>
          <xdr:rowOff>0</xdr:rowOff>
        </xdr:from>
        <xdr:to>
          <xdr:col>4</xdr:col>
          <xdr:colOff>723900</xdr:colOff>
          <xdr:row>15</xdr:row>
          <xdr:rowOff>57150</xdr:rowOff>
        </xdr:to>
        <xdr:sp macro="" textlink="">
          <xdr:nvSpPr>
            <xdr:cNvPr id="1026" name="ModifierNoteBTN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9</xdr:col>
      <xdr:colOff>85725</xdr:colOff>
      <xdr:row>2</xdr:row>
      <xdr:rowOff>85725</xdr:rowOff>
    </xdr:from>
    <xdr:to>
      <xdr:col>13</xdr:col>
      <xdr:colOff>171450</xdr:colOff>
      <xdr:row>5</xdr:row>
      <xdr:rowOff>161925</xdr:rowOff>
    </xdr:to>
    <xdr:sp macro="" textlink="">
      <xdr:nvSpPr>
        <xdr:cNvPr id="2" name="ZoneText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6943725" y="466725"/>
          <a:ext cx="3133725" cy="6477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/>
            <a:t>Notes</a:t>
          </a:r>
        </a:p>
      </xdr:txBody>
    </xdr:sp>
    <xdr:clientData/>
  </xdr:twoCellAnchor>
  <xdr:twoCellAnchor>
    <xdr:from>
      <xdr:col>0</xdr:col>
      <xdr:colOff>485775</xdr:colOff>
      <xdr:row>9</xdr:row>
      <xdr:rowOff>114300</xdr:rowOff>
    </xdr:from>
    <xdr:to>
      <xdr:col>4</xdr:col>
      <xdr:colOff>57150</xdr:colOff>
      <xdr:row>12</xdr:row>
      <xdr:rowOff>19050</xdr:rowOff>
    </xdr:to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485775" y="1828800"/>
          <a:ext cx="2619375" cy="4762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Ajouter une note </a:t>
          </a:r>
        </a:p>
        <a:p>
          <a:endParaRPr lang="fr-FR" sz="1100"/>
        </a:p>
      </xdr:txBody>
    </xdr:sp>
    <xdr:clientData/>
  </xdr:twoCellAnchor>
  <xdr:twoCellAnchor>
    <xdr:from>
      <xdr:col>0</xdr:col>
      <xdr:colOff>485775</xdr:colOff>
      <xdr:row>13</xdr:row>
      <xdr:rowOff>38100</xdr:rowOff>
    </xdr:from>
    <xdr:to>
      <xdr:col>4</xdr:col>
      <xdr:colOff>57150</xdr:colOff>
      <xdr:row>15</xdr:row>
      <xdr:rowOff>57150</xdr:rowOff>
    </xdr:to>
    <xdr:sp macro="" textlink="">
      <xdr:nvSpPr>
        <xdr:cNvPr id="6" name="ZoneText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 txBox="1"/>
      </xdr:nvSpPr>
      <xdr:spPr>
        <a:xfrm>
          <a:off x="485775" y="2514600"/>
          <a:ext cx="2619375" cy="4000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Modifier</a:t>
          </a:r>
          <a:r>
            <a:rPr lang="fr-FR" sz="1100" baseline="0"/>
            <a:t> une note</a:t>
          </a:r>
        </a:p>
      </xdr:txBody>
    </xdr:sp>
    <xdr:clientData/>
  </xdr:twoCellAnchor>
  <xdr:twoCellAnchor>
    <xdr:from>
      <xdr:col>0</xdr:col>
      <xdr:colOff>485775</xdr:colOff>
      <xdr:row>16</xdr:row>
      <xdr:rowOff>104775</xdr:rowOff>
    </xdr:from>
    <xdr:to>
      <xdr:col>4</xdr:col>
      <xdr:colOff>57150</xdr:colOff>
      <xdr:row>19</xdr:row>
      <xdr:rowOff>9525</xdr:rowOff>
    </xdr:to>
    <xdr:sp macro="" textlink="">
      <xdr:nvSpPr>
        <xdr:cNvPr id="8" name="ZoneTexte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 txBox="1"/>
      </xdr:nvSpPr>
      <xdr:spPr>
        <a:xfrm>
          <a:off x="485775" y="3152775"/>
          <a:ext cx="2619375" cy="4762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Supprimer une</a:t>
          </a:r>
          <a:r>
            <a:rPr lang="fr-FR" sz="1100" baseline="0"/>
            <a:t> note</a:t>
          </a:r>
        </a:p>
        <a:p>
          <a:endParaRPr lang="fr-FR" sz="1100"/>
        </a:p>
        <a:p>
          <a:endParaRPr lang="fr-F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142875</xdr:colOff>
          <xdr:row>16</xdr:row>
          <xdr:rowOff>123825</xdr:rowOff>
        </xdr:from>
        <xdr:to>
          <xdr:col>4</xdr:col>
          <xdr:colOff>733425</xdr:colOff>
          <xdr:row>19</xdr:row>
          <xdr:rowOff>19050</xdr:rowOff>
        </xdr:to>
        <xdr:sp macro="" textlink="">
          <xdr:nvSpPr>
            <xdr:cNvPr id="1027" name="SupprimerNoteBTN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371475</xdr:colOff>
          <xdr:row>15</xdr:row>
          <xdr:rowOff>161925</xdr:rowOff>
        </xdr:from>
        <xdr:to>
          <xdr:col>22</xdr:col>
          <xdr:colOff>600075</xdr:colOff>
          <xdr:row>18</xdr:row>
          <xdr:rowOff>85725</xdr:rowOff>
        </xdr:to>
        <xdr:sp macro="" textlink="">
          <xdr:nvSpPr>
            <xdr:cNvPr id="1031" name="MajBTN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409575</xdr:colOff>
          <xdr:row>9</xdr:row>
          <xdr:rowOff>0</xdr:rowOff>
        </xdr:from>
        <xdr:to>
          <xdr:col>22</xdr:col>
          <xdr:colOff>609600</xdr:colOff>
          <xdr:row>11</xdr:row>
          <xdr:rowOff>161925</xdr:rowOff>
        </xdr:to>
        <xdr:sp macro="" textlink="">
          <xdr:nvSpPr>
            <xdr:cNvPr id="1032" name="AfficheGraph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514350</xdr:colOff>
          <xdr:row>13</xdr:row>
          <xdr:rowOff>66675</xdr:rowOff>
        </xdr:from>
        <xdr:to>
          <xdr:col>22</xdr:col>
          <xdr:colOff>542925</xdr:colOff>
          <xdr:row>15</xdr:row>
          <xdr:rowOff>38100</xdr:rowOff>
        </xdr:to>
        <xdr:sp macro="" textlink="">
          <xdr:nvSpPr>
            <xdr:cNvPr id="1034" name="LSTSem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619125</xdr:colOff>
      <xdr:row>29</xdr:row>
      <xdr:rowOff>0</xdr:rowOff>
    </xdr:from>
    <xdr:to>
      <xdr:col>2</xdr:col>
      <xdr:colOff>436908</xdr:colOff>
      <xdr:row>30</xdr:row>
      <xdr:rowOff>57978</xdr:rowOff>
    </xdr:to>
    <xdr:sp macro="" textlink="">
      <xdr:nvSpPr>
        <xdr:cNvPr id="16" name="ZoneTexte 15">
          <a:extLst>
            <a:ext uri="{FF2B5EF4-FFF2-40B4-BE49-F238E27FC236}">
              <a16:creationId xmlns:a16="http://schemas.microsoft.com/office/drawing/2014/main" id="{C72AEE2E-52E2-443D-AD3F-AD5476EA0A51}"/>
            </a:ext>
          </a:extLst>
        </xdr:cNvPr>
        <xdr:cNvSpPr txBox="1"/>
      </xdr:nvSpPr>
      <xdr:spPr>
        <a:xfrm>
          <a:off x="619125" y="5524500"/>
          <a:ext cx="1341783" cy="248478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 kern="1200"/>
            <a:t>Guide d'utilisation </a:t>
          </a:r>
        </a:p>
        <a:p>
          <a:endParaRPr lang="fr-FR" sz="1100" kern="12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76200</xdr:colOff>
          <xdr:row>23</xdr:row>
          <xdr:rowOff>142875</xdr:rowOff>
        </xdr:from>
        <xdr:to>
          <xdr:col>2</xdr:col>
          <xdr:colOff>257175</xdr:colOff>
          <xdr:row>28</xdr:row>
          <xdr:rowOff>0</xdr:rowOff>
        </xdr:to>
        <xdr:sp macro="" textlink="">
          <xdr:nvSpPr>
            <xdr:cNvPr id="1035" name="CommandButton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409575</xdr:colOff>
          <xdr:row>31</xdr:row>
          <xdr:rowOff>133350</xdr:rowOff>
        </xdr:from>
        <xdr:to>
          <xdr:col>4</xdr:col>
          <xdr:colOff>352425</xdr:colOff>
          <xdr:row>35</xdr:row>
          <xdr:rowOff>19050</xdr:rowOff>
        </xdr:to>
        <xdr:sp macro="" textlink="">
          <xdr:nvSpPr>
            <xdr:cNvPr id="1036" name="CommandButton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23</xdr:col>
      <xdr:colOff>238125</xdr:colOff>
      <xdr:row>9</xdr:row>
      <xdr:rowOff>85725</xdr:rowOff>
    </xdr:from>
    <xdr:to>
      <xdr:col>27</xdr:col>
      <xdr:colOff>428625</xdr:colOff>
      <xdr:row>17</xdr:row>
      <xdr:rowOff>47625</xdr:rowOff>
    </xdr:to>
    <xdr:sp macro="" textlink="">
      <xdr:nvSpPr>
        <xdr:cNvPr id="14" name="ZoneTexte 13">
          <a:extLst>
            <a:ext uri="{FF2B5EF4-FFF2-40B4-BE49-F238E27FC236}">
              <a16:creationId xmlns:a16="http://schemas.microsoft.com/office/drawing/2014/main" id="{7C0CF64B-A48D-55FF-DE9B-65ECC79D422B}"/>
            </a:ext>
          </a:extLst>
        </xdr:cNvPr>
        <xdr:cNvSpPr txBox="1"/>
      </xdr:nvSpPr>
      <xdr:spPr>
        <a:xfrm>
          <a:off x="17764125" y="1800225"/>
          <a:ext cx="3238500" cy="14859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 kern="1200"/>
            <a:t>Le</a:t>
          </a:r>
          <a:r>
            <a:rPr lang="fr-FR" sz="1100" kern="1200" baseline="0"/>
            <a:t> graphique ne sera représentatif que si toutes vos notes sont mise a jour.</a:t>
          </a:r>
          <a:endParaRPr lang="fr-FR" sz="1100" kern="1200"/>
        </a:p>
      </xdr:txBody>
    </xdr:sp>
    <xdr:clientData/>
  </xdr:twoCellAnchor>
  <xdr:twoCellAnchor>
    <xdr:from>
      <xdr:col>6</xdr:col>
      <xdr:colOff>577101</xdr:colOff>
      <xdr:row>8</xdr:row>
      <xdr:rowOff>44824</xdr:rowOff>
    </xdr:from>
    <xdr:to>
      <xdr:col>18</xdr:col>
      <xdr:colOff>459441</xdr:colOff>
      <xdr:row>31</xdr:row>
      <xdr:rowOff>22412</xdr:rowOff>
    </xdr:to>
    <xdr:graphicFrame macro="">
      <xdr:nvGraphicFramePr>
        <xdr:cNvPr id="10" name="Graph Semestre 1" hidden="1">
          <a:extLst>
            <a:ext uri="{FF2B5EF4-FFF2-40B4-BE49-F238E27FC236}">
              <a16:creationId xmlns:a16="http://schemas.microsoft.com/office/drawing/2014/main" id="{C36BF4A9-9E35-4EDD-8CD7-13485E2E72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247650</xdr:colOff>
      <xdr:row>12</xdr:row>
      <xdr:rowOff>133350</xdr:rowOff>
    </xdr:from>
    <xdr:to>
      <xdr:col>5</xdr:col>
      <xdr:colOff>400050</xdr:colOff>
      <xdr:row>36</xdr:row>
      <xdr:rowOff>133350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142875</xdr:colOff>
          <xdr:row>11</xdr:row>
          <xdr:rowOff>28575</xdr:rowOff>
        </xdr:from>
        <xdr:to>
          <xdr:col>11</xdr:col>
          <xdr:colOff>161925</xdr:colOff>
          <xdr:row>14</xdr:row>
          <xdr:rowOff>66675</xdr:rowOff>
        </xdr:to>
        <xdr:sp macro="" textlink="">
          <xdr:nvSpPr>
            <xdr:cNvPr id="2052" name="MajBTN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3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3669925</xdr:colOff>
      <xdr:row>8</xdr:row>
      <xdr:rowOff>44824</xdr:rowOff>
    </xdr:from>
    <xdr:to>
      <xdr:col>14</xdr:col>
      <xdr:colOff>22412</xdr:colOff>
      <xdr:row>29</xdr:row>
      <xdr:rowOff>22412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A794E70E-F84B-2963-8BDA-5C581D2316D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3664324</xdr:colOff>
      <xdr:row>7</xdr:row>
      <xdr:rowOff>145674</xdr:rowOff>
    </xdr:from>
    <xdr:to>
      <xdr:col>13</xdr:col>
      <xdr:colOff>750793</xdr:colOff>
      <xdr:row>28</xdr:row>
      <xdr:rowOff>168087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3E241538-87B7-8933-C1F9-6AE1DA6BFEB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hème Office 2013 –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13" Type="http://schemas.openxmlformats.org/officeDocument/2006/relationships/control" Target="../activeX/activeX6.xml"/><Relationship Id="rId18" Type="http://schemas.openxmlformats.org/officeDocument/2006/relationships/image" Target="../media/image8.emf"/><Relationship Id="rId3" Type="http://schemas.openxmlformats.org/officeDocument/2006/relationships/control" Target="../activeX/activeX1.xml"/><Relationship Id="rId7" Type="http://schemas.openxmlformats.org/officeDocument/2006/relationships/control" Target="../activeX/activeX3.xml"/><Relationship Id="rId12" Type="http://schemas.openxmlformats.org/officeDocument/2006/relationships/image" Target="../media/image5.emf"/><Relationship Id="rId17" Type="http://schemas.openxmlformats.org/officeDocument/2006/relationships/control" Target="../activeX/activeX8.xml"/><Relationship Id="rId2" Type="http://schemas.openxmlformats.org/officeDocument/2006/relationships/vmlDrawing" Target="../drawings/vmlDrawing1.vml"/><Relationship Id="rId16" Type="http://schemas.openxmlformats.org/officeDocument/2006/relationships/image" Target="../media/image7.emf"/><Relationship Id="rId1" Type="http://schemas.openxmlformats.org/officeDocument/2006/relationships/drawing" Target="../drawings/drawing1.xml"/><Relationship Id="rId6" Type="http://schemas.openxmlformats.org/officeDocument/2006/relationships/image" Target="../media/image2.emf"/><Relationship Id="rId11" Type="http://schemas.openxmlformats.org/officeDocument/2006/relationships/control" Target="../activeX/activeX5.xml"/><Relationship Id="rId5" Type="http://schemas.openxmlformats.org/officeDocument/2006/relationships/control" Target="../activeX/activeX2.xml"/><Relationship Id="rId15" Type="http://schemas.openxmlformats.org/officeDocument/2006/relationships/control" Target="../activeX/activeX7.xml"/><Relationship Id="rId10" Type="http://schemas.openxmlformats.org/officeDocument/2006/relationships/image" Target="../media/image4.emf"/><Relationship Id="rId4" Type="http://schemas.openxmlformats.org/officeDocument/2006/relationships/image" Target="../media/image1.emf"/><Relationship Id="rId9" Type="http://schemas.openxmlformats.org/officeDocument/2006/relationships/control" Target="../activeX/activeX4.xml"/><Relationship Id="rId14" Type="http://schemas.openxmlformats.org/officeDocument/2006/relationships/image" Target="../media/image6.emf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9.emf"/><Relationship Id="rId4" Type="http://schemas.openxmlformats.org/officeDocument/2006/relationships/control" Target="../activeX/activeX9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AC6AA8-D62A-47E9-A508-4EDDF02F6591}">
  <sheetPr codeName="Feuil1"/>
  <dimension ref="A1"/>
  <sheetViews>
    <sheetView tabSelected="1" workbookViewId="0">
      <selection sqref="A1:XFD1048576"/>
    </sheetView>
  </sheetViews>
  <sheetFormatPr baseColWidth="10" defaultRowHeight="15" x14ac:dyDescent="0.25"/>
  <cols>
    <col min="1" max="16384" width="11.42578125" style="36"/>
  </cols>
  <sheetData/>
  <sheetProtection pivotTables="0"/>
  <mergeCells count="1">
    <mergeCell ref="A1:XFD1048576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31" r:id="rId3" name="MajBTN">
          <controlPr defaultSize="0" autoLine="0" r:id="rId4">
            <anchor moveWithCells="1">
              <from>
                <xdr:col>19</xdr:col>
                <xdr:colOff>371475</xdr:colOff>
                <xdr:row>15</xdr:row>
                <xdr:rowOff>161925</xdr:rowOff>
              </from>
              <to>
                <xdr:col>22</xdr:col>
                <xdr:colOff>600075</xdr:colOff>
                <xdr:row>18</xdr:row>
                <xdr:rowOff>85725</xdr:rowOff>
              </to>
            </anchor>
          </controlPr>
        </control>
      </mc:Choice>
      <mc:Fallback>
        <control shapeId="1031" r:id="rId3" name="MajBTN"/>
      </mc:Fallback>
    </mc:AlternateContent>
    <mc:AlternateContent xmlns:mc="http://schemas.openxmlformats.org/markup-compatibility/2006">
      <mc:Choice Requires="x14">
        <control shapeId="1027" r:id="rId5" name="SupprimerNoteBTN">
          <controlPr defaultSize="0" autoLine="0" r:id="rId6">
            <anchor moveWithCells="1">
              <from>
                <xdr:col>4</xdr:col>
                <xdr:colOff>142875</xdr:colOff>
                <xdr:row>16</xdr:row>
                <xdr:rowOff>123825</xdr:rowOff>
              </from>
              <to>
                <xdr:col>4</xdr:col>
                <xdr:colOff>733425</xdr:colOff>
                <xdr:row>19</xdr:row>
                <xdr:rowOff>19050</xdr:rowOff>
              </to>
            </anchor>
          </controlPr>
        </control>
      </mc:Choice>
      <mc:Fallback>
        <control shapeId="1027" r:id="rId5" name="SupprimerNoteBTN"/>
      </mc:Fallback>
    </mc:AlternateContent>
    <mc:AlternateContent xmlns:mc="http://schemas.openxmlformats.org/markup-compatibility/2006">
      <mc:Choice Requires="x14">
        <control shapeId="1025" r:id="rId7" name="Userform">
          <controlPr defaultSize="0" autoLine="0" r:id="rId8">
            <anchor moveWithCells="1">
              <from>
                <xdr:col>4</xdr:col>
                <xdr:colOff>133350</xdr:colOff>
                <xdr:row>9</xdr:row>
                <xdr:rowOff>95250</xdr:rowOff>
              </from>
              <to>
                <xdr:col>4</xdr:col>
                <xdr:colOff>685800</xdr:colOff>
                <xdr:row>11</xdr:row>
                <xdr:rowOff>180975</xdr:rowOff>
              </to>
            </anchor>
          </controlPr>
        </control>
      </mc:Choice>
      <mc:Fallback>
        <control shapeId="1025" r:id="rId7" name="Userform"/>
      </mc:Fallback>
    </mc:AlternateContent>
    <mc:AlternateContent xmlns:mc="http://schemas.openxmlformats.org/markup-compatibility/2006">
      <mc:Choice Requires="x14">
        <control shapeId="1026" r:id="rId9" name="ModifierNoteBTN">
          <controlPr defaultSize="0" autoLine="0" autoPict="0" r:id="rId10">
            <anchor moveWithCells="1">
              <from>
                <xdr:col>4</xdr:col>
                <xdr:colOff>171450</xdr:colOff>
                <xdr:row>13</xdr:row>
                <xdr:rowOff>0</xdr:rowOff>
              </from>
              <to>
                <xdr:col>4</xdr:col>
                <xdr:colOff>723900</xdr:colOff>
                <xdr:row>15</xdr:row>
                <xdr:rowOff>57150</xdr:rowOff>
              </to>
            </anchor>
          </controlPr>
        </control>
      </mc:Choice>
      <mc:Fallback>
        <control shapeId="1026" r:id="rId9" name="ModifierNoteBTN"/>
      </mc:Fallback>
    </mc:AlternateContent>
    <mc:AlternateContent xmlns:mc="http://schemas.openxmlformats.org/markup-compatibility/2006">
      <mc:Choice Requires="x14">
        <control shapeId="1032" r:id="rId11" name="AfficheGraph">
          <controlPr defaultSize="0" autoLine="0" r:id="rId12">
            <anchor moveWithCells="1">
              <from>
                <xdr:col>19</xdr:col>
                <xdr:colOff>409575</xdr:colOff>
                <xdr:row>9</xdr:row>
                <xdr:rowOff>0</xdr:rowOff>
              </from>
              <to>
                <xdr:col>22</xdr:col>
                <xdr:colOff>609600</xdr:colOff>
                <xdr:row>11</xdr:row>
                <xdr:rowOff>161925</xdr:rowOff>
              </to>
            </anchor>
          </controlPr>
        </control>
      </mc:Choice>
      <mc:Fallback>
        <control shapeId="1032" r:id="rId11" name="AfficheGraph"/>
      </mc:Fallback>
    </mc:AlternateContent>
    <mc:AlternateContent xmlns:mc="http://schemas.openxmlformats.org/markup-compatibility/2006">
      <mc:Choice Requires="x14">
        <control shapeId="1034" r:id="rId13" name="LSTSem">
          <controlPr defaultSize="0" autoLine="0" r:id="rId14">
            <anchor moveWithCells="1">
              <from>
                <xdr:col>20</xdr:col>
                <xdr:colOff>514350</xdr:colOff>
                <xdr:row>13</xdr:row>
                <xdr:rowOff>66675</xdr:rowOff>
              </from>
              <to>
                <xdr:col>22</xdr:col>
                <xdr:colOff>542925</xdr:colOff>
                <xdr:row>15</xdr:row>
                <xdr:rowOff>38100</xdr:rowOff>
              </to>
            </anchor>
          </controlPr>
        </control>
      </mc:Choice>
      <mc:Fallback>
        <control shapeId="1034" r:id="rId13" name="LSTSem"/>
      </mc:Fallback>
    </mc:AlternateContent>
    <mc:AlternateContent xmlns:mc="http://schemas.openxmlformats.org/markup-compatibility/2006">
      <mc:Choice Requires="x14">
        <control shapeId="1035" r:id="rId15" name="CommandButton1">
          <controlPr defaultSize="0" autoLine="0" r:id="rId16">
            <anchor moveWithCells="1">
              <from>
                <xdr:col>1</xdr:col>
                <xdr:colOff>76200</xdr:colOff>
                <xdr:row>23</xdr:row>
                <xdr:rowOff>142875</xdr:rowOff>
              </from>
              <to>
                <xdr:col>2</xdr:col>
                <xdr:colOff>257175</xdr:colOff>
                <xdr:row>28</xdr:row>
                <xdr:rowOff>0</xdr:rowOff>
              </to>
            </anchor>
          </controlPr>
        </control>
      </mc:Choice>
      <mc:Fallback>
        <control shapeId="1035" r:id="rId15" name="CommandButton1"/>
      </mc:Fallback>
    </mc:AlternateContent>
    <mc:AlternateContent xmlns:mc="http://schemas.openxmlformats.org/markup-compatibility/2006">
      <mc:Choice Requires="x14">
        <control shapeId="1036" r:id="rId17" name="CommandButton2">
          <controlPr defaultSize="0" autoLine="0" r:id="rId18">
            <anchor moveWithCells="1">
              <from>
                <xdr:col>0</xdr:col>
                <xdr:colOff>409575</xdr:colOff>
                <xdr:row>31</xdr:row>
                <xdr:rowOff>133350</xdr:rowOff>
              </from>
              <to>
                <xdr:col>4</xdr:col>
                <xdr:colOff>352425</xdr:colOff>
                <xdr:row>35</xdr:row>
                <xdr:rowOff>19050</xdr:rowOff>
              </to>
            </anchor>
          </controlPr>
        </control>
      </mc:Choice>
      <mc:Fallback>
        <control shapeId="1036" r:id="rId17" name="CommandButton2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1B0455-C90D-43F5-AF5F-3952C534B435}">
  <sheetPr codeName="Feuil2"/>
  <dimension ref="A2:F552"/>
  <sheetViews>
    <sheetView zoomScale="90" zoomScaleNormal="90" workbookViewId="0">
      <selection activeCell="A54" sqref="A54:XFD1048576"/>
    </sheetView>
  </sheetViews>
  <sheetFormatPr baseColWidth="10" defaultColWidth="47.42578125" defaultRowHeight="15" x14ac:dyDescent="0.25"/>
  <cols>
    <col min="1" max="1" width="15.42578125" style="37" customWidth="1"/>
    <col min="2" max="2" width="64.28515625" style="37" bestFit="1" customWidth="1"/>
    <col min="3" max="3" width="4" style="37" bestFit="1" customWidth="1"/>
    <col min="4" max="12" width="10.5703125" style="37" bestFit="1" customWidth="1"/>
    <col min="13" max="22" width="11.7109375" style="37" bestFit="1" customWidth="1"/>
    <col min="23" max="16384" width="47.42578125" style="37"/>
  </cols>
  <sheetData>
    <row r="2" spans="1:6" customFormat="1" ht="18.75" x14ac:dyDescent="0.3">
      <c r="A2" s="44" t="s">
        <v>0</v>
      </c>
      <c r="B2" s="44"/>
      <c r="C2" s="44"/>
      <c r="D2" t="s">
        <v>44</v>
      </c>
      <c r="E2" t="s">
        <v>45</v>
      </c>
      <c r="F2" t="s">
        <v>46</v>
      </c>
    </row>
    <row r="3" spans="1:6" customFormat="1" ht="15" customHeight="1" x14ac:dyDescent="0.25">
      <c r="A3" s="45" t="s">
        <v>1</v>
      </c>
      <c r="B3" s="11" t="s">
        <v>2</v>
      </c>
      <c r="C3" s="21">
        <v>15</v>
      </c>
    </row>
    <row r="4" spans="1:6" customFormat="1" x14ac:dyDescent="0.25">
      <c r="A4" s="46"/>
      <c r="B4" s="11" t="s">
        <v>3</v>
      </c>
      <c r="C4" s="21">
        <v>20</v>
      </c>
    </row>
    <row r="5" spans="1:6" customFormat="1" x14ac:dyDescent="0.25">
      <c r="A5" s="46"/>
      <c r="B5" s="11" t="s">
        <v>4</v>
      </c>
      <c r="C5" s="21">
        <v>20</v>
      </c>
    </row>
    <row r="6" spans="1:6" customFormat="1" x14ac:dyDescent="0.25">
      <c r="A6" s="46"/>
      <c r="B6" s="32" t="s">
        <v>5</v>
      </c>
      <c r="C6" s="21">
        <v>5</v>
      </c>
    </row>
    <row r="7" spans="1:6" customFormat="1" x14ac:dyDescent="0.25">
      <c r="A7" s="46"/>
      <c r="B7" s="11" t="s">
        <v>6</v>
      </c>
      <c r="C7" s="21">
        <v>30</v>
      </c>
    </row>
    <row r="8" spans="1:6" customFormat="1" x14ac:dyDescent="0.25">
      <c r="A8" s="47"/>
      <c r="B8" s="11" t="s">
        <v>7</v>
      </c>
      <c r="C8" s="21">
        <v>10</v>
      </c>
    </row>
    <row r="9" spans="1:6" customFormat="1" x14ac:dyDescent="0.25">
      <c r="A9" s="3"/>
      <c r="B9" s="4"/>
      <c r="C9" s="5"/>
    </row>
    <row r="10" spans="1:6" customFormat="1" ht="15" customHeight="1" x14ac:dyDescent="0.25">
      <c r="A10" s="48" t="s">
        <v>8</v>
      </c>
      <c r="B10" s="6" t="s">
        <v>9</v>
      </c>
      <c r="C10" s="7">
        <v>20</v>
      </c>
      <c r="D10">
        <v>20</v>
      </c>
      <c r="E10">
        <v>15</v>
      </c>
    </row>
    <row r="11" spans="1:6" customFormat="1" ht="15" customHeight="1" x14ac:dyDescent="0.25">
      <c r="A11" s="49"/>
      <c r="B11" s="6" t="s">
        <v>10</v>
      </c>
      <c r="C11" s="7">
        <v>15</v>
      </c>
      <c r="D11">
        <v>18</v>
      </c>
    </row>
    <row r="12" spans="1:6" customFormat="1" x14ac:dyDescent="0.25">
      <c r="A12" s="49"/>
      <c r="B12" s="6" t="s">
        <v>11</v>
      </c>
      <c r="C12" s="7">
        <v>20</v>
      </c>
      <c r="D12">
        <v>7</v>
      </c>
      <c r="E12">
        <v>9.5</v>
      </c>
      <c r="F12">
        <v>9.5</v>
      </c>
    </row>
    <row r="13" spans="1:6" customFormat="1" x14ac:dyDescent="0.25">
      <c r="A13" s="49"/>
      <c r="B13" s="2" t="s">
        <v>5</v>
      </c>
      <c r="C13" s="7">
        <v>5</v>
      </c>
    </row>
    <row r="14" spans="1:6" customFormat="1" ht="30" x14ac:dyDescent="0.25">
      <c r="A14" s="50"/>
      <c r="B14" s="6" t="s">
        <v>12</v>
      </c>
      <c r="C14" s="7">
        <v>40</v>
      </c>
    </row>
    <row r="15" spans="1:6" customFormat="1" x14ac:dyDescent="0.25">
      <c r="A15" s="3"/>
      <c r="B15" s="8"/>
      <c r="C15" s="5"/>
    </row>
    <row r="16" spans="1:6" customFormat="1" ht="15" customHeight="1" x14ac:dyDescent="0.25">
      <c r="A16" s="51" t="s">
        <v>13</v>
      </c>
      <c r="B16" s="9" t="s">
        <v>14</v>
      </c>
      <c r="C16" s="10">
        <v>15</v>
      </c>
    </row>
    <row r="17" spans="1:3" customFormat="1" x14ac:dyDescent="0.25">
      <c r="A17" s="52"/>
      <c r="B17" s="9" t="s">
        <v>15</v>
      </c>
      <c r="C17" s="10">
        <v>15</v>
      </c>
    </row>
    <row r="18" spans="1:3" customFormat="1" ht="30" x14ac:dyDescent="0.25">
      <c r="A18" s="52"/>
      <c r="B18" s="9" t="s">
        <v>16</v>
      </c>
      <c r="C18" s="10">
        <v>25</v>
      </c>
    </row>
    <row r="19" spans="1:3" customFormat="1" x14ac:dyDescent="0.25">
      <c r="A19" s="52"/>
      <c r="B19" s="2" t="s">
        <v>5</v>
      </c>
      <c r="C19" s="10">
        <v>5</v>
      </c>
    </row>
    <row r="20" spans="1:3" customFormat="1" x14ac:dyDescent="0.25">
      <c r="A20" s="52"/>
      <c r="B20" s="9" t="s">
        <v>17</v>
      </c>
      <c r="C20" s="10">
        <v>15</v>
      </c>
    </row>
    <row r="21" spans="1:3" customFormat="1" x14ac:dyDescent="0.25">
      <c r="A21" s="52"/>
      <c r="B21" s="9" t="s">
        <v>18</v>
      </c>
      <c r="C21" s="10">
        <v>10</v>
      </c>
    </row>
    <row r="22" spans="1:3" customFormat="1" x14ac:dyDescent="0.25">
      <c r="A22" s="53"/>
      <c r="B22" s="9" t="s">
        <v>19</v>
      </c>
      <c r="C22" s="10">
        <v>15</v>
      </c>
    </row>
    <row r="23" spans="1:3" customFormat="1" x14ac:dyDescent="0.25">
      <c r="A23" s="17"/>
      <c r="C23" s="18"/>
    </row>
    <row r="24" spans="1:3" customFormat="1" ht="18.75" x14ac:dyDescent="0.3">
      <c r="A24" s="54" t="s">
        <v>20</v>
      </c>
      <c r="B24" s="44"/>
      <c r="C24" s="44"/>
    </row>
    <row r="25" spans="1:3" customFormat="1" ht="15" customHeight="1" x14ac:dyDescent="0.25">
      <c r="A25" s="55" t="s">
        <v>1</v>
      </c>
      <c r="B25" s="11" t="s">
        <v>21</v>
      </c>
      <c r="C25" s="1">
        <v>10</v>
      </c>
    </row>
    <row r="26" spans="1:3" customFormat="1" x14ac:dyDescent="0.25">
      <c r="A26" s="46"/>
      <c r="B26" s="11" t="s">
        <v>22</v>
      </c>
      <c r="C26" s="1">
        <v>15</v>
      </c>
    </row>
    <row r="27" spans="1:3" customFormat="1" x14ac:dyDescent="0.25">
      <c r="A27" s="46"/>
      <c r="B27" s="11" t="s">
        <v>23</v>
      </c>
      <c r="C27" s="1">
        <v>15</v>
      </c>
    </row>
    <row r="28" spans="1:3" customFormat="1" x14ac:dyDescent="0.25">
      <c r="A28" s="46"/>
      <c r="B28" s="11" t="s">
        <v>24</v>
      </c>
      <c r="C28" s="1">
        <v>15</v>
      </c>
    </row>
    <row r="29" spans="1:3" customFormat="1" x14ac:dyDescent="0.25">
      <c r="A29" s="46"/>
      <c r="B29" s="2" t="s">
        <v>25</v>
      </c>
      <c r="C29" s="1">
        <v>5</v>
      </c>
    </row>
    <row r="30" spans="1:3" customFormat="1" ht="15.95" customHeight="1" x14ac:dyDescent="0.25">
      <c r="A30" s="46"/>
      <c r="B30" s="11" t="s">
        <v>26</v>
      </c>
      <c r="C30" s="1">
        <v>10</v>
      </c>
    </row>
    <row r="31" spans="1:3" customFormat="1" ht="15.95" customHeight="1" x14ac:dyDescent="0.25">
      <c r="A31" s="46"/>
      <c r="B31" s="12" t="s">
        <v>27</v>
      </c>
      <c r="C31" s="1">
        <v>5</v>
      </c>
    </row>
    <row r="32" spans="1:3" customFormat="1" x14ac:dyDescent="0.25">
      <c r="A32" s="46"/>
      <c r="B32" s="12" t="s">
        <v>28</v>
      </c>
      <c r="C32" s="1">
        <v>20</v>
      </c>
    </row>
    <row r="33" spans="1:3" customFormat="1" x14ac:dyDescent="0.25">
      <c r="A33" s="47"/>
      <c r="B33" s="2" t="s">
        <v>29</v>
      </c>
      <c r="C33" s="1">
        <v>5</v>
      </c>
    </row>
    <row r="34" spans="1:3" customFormat="1" x14ac:dyDescent="0.25">
      <c r="A34" s="3"/>
      <c r="B34" s="8"/>
      <c r="C34" s="13"/>
    </row>
    <row r="35" spans="1:3" customFormat="1" ht="15" customHeight="1" x14ac:dyDescent="0.25">
      <c r="A35" s="38" t="s">
        <v>8</v>
      </c>
      <c r="B35" s="14" t="s">
        <v>30</v>
      </c>
      <c r="C35" s="15">
        <v>10</v>
      </c>
    </row>
    <row r="36" spans="1:3" customFormat="1" x14ac:dyDescent="0.25">
      <c r="A36" s="39"/>
      <c r="B36" s="14" t="s">
        <v>31</v>
      </c>
      <c r="C36" s="15">
        <v>15</v>
      </c>
    </row>
    <row r="37" spans="1:3" customFormat="1" x14ac:dyDescent="0.25">
      <c r="A37" s="39"/>
      <c r="B37" s="14" t="s">
        <v>32</v>
      </c>
      <c r="C37" s="15">
        <v>15</v>
      </c>
    </row>
    <row r="38" spans="1:3" customFormat="1" x14ac:dyDescent="0.25">
      <c r="A38" s="39"/>
      <c r="B38" s="14" t="s">
        <v>33</v>
      </c>
      <c r="C38" s="15">
        <v>15</v>
      </c>
    </row>
    <row r="39" spans="1:3" customFormat="1" x14ac:dyDescent="0.25">
      <c r="A39" s="39"/>
      <c r="B39" s="2" t="s">
        <v>25</v>
      </c>
      <c r="C39" s="15">
        <v>5</v>
      </c>
    </row>
    <row r="40" spans="1:3" customFormat="1" x14ac:dyDescent="0.25">
      <c r="A40" s="39"/>
      <c r="B40" s="14" t="s">
        <v>34</v>
      </c>
      <c r="C40" s="15">
        <v>10</v>
      </c>
    </row>
    <row r="41" spans="1:3" customFormat="1" x14ac:dyDescent="0.25">
      <c r="A41" s="39"/>
      <c r="B41" s="14" t="s">
        <v>35</v>
      </c>
      <c r="C41" s="15">
        <v>10</v>
      </c>
    </row>
    <row r="42" spans="1:3" customFormat="1" x14ac:dyDescent="0.25">
      <c r="A42" s="39"/>
      <c r="B42" s="12" t="s">
        <v>27</v>
      </c>
      <c r="C42" s="15">
        <v>5</v>
      </c>
    </row>
    <row r="43" spans="1:3" customFormat="1" x14ac:dyDescent="0.25">
      <c r="A43" s="39"/>
      <c r="B43" s="12" t="s">
        <v>28</v>
      </c>
      <c r="C43" s="15">
        <v>10</v>
      </c>
    </row>
    <row r="44" spans="1:3" customFormat="1" x14ac:dyDescent="0.25">
      <c r="A44" s="40"/>
      <c r="B44" s="2" t="s">
        <v>29</v>
      </c>
      <c r="C44" s="15">
        <v>5</v>
      </c>
    </row>
    <row r="45" spans="1:3" customFormat="1" x14ac:dyDescent="0.25">
      <c r="A45" s="3"/>
      <c r="B45" s="8"/>
      <c r="C45" s="13"/>
    </row>
    <row r="46" spans="1:3" customFormat="1" ht="15" customHeight="1" x14ac:dyDescent="0.25">
      <c r="A46" s="41" t="s">
        <v>13</v>
      </c>
      <c r="B46" s="9" t="s">
        <v>36</v>
      </c>
      <c r="C46" s="10">
        <v>15</v>
      </c>
    </row>
    <row r="47" spans="1:3" customFormat="1" x14ac:dyDescent="0.25">
      <c r="A47" s="42"/>
      <c r="B47" s="9" t="s">
        <v>37</v>
      </c>
      <c r="C47" s="10">
        <v>15</v>
      </c>
    </row>
    <row r="48" spans="1:3" customFormat="1" x14ac:dyDescent="0.25">
      <c r="A48" s="42"/>
      <c r="B48" s="9" t="s">
        <v>38</v>
      </c>
      <c r="C48" s="10">
        <v>25</v>
      </c>
    </row>
    <row r="49" spans="1:3" customFormat="1" x14ac:dyDescent="0.25">
      <c r="A49" s="42"/>
      <c r="B49" s="2" t="s">
        <v>25</v>
      </c>
      <c r="C49" s="10">
        <v>5</v>
      </c>
    </row>
    <row r="50" spans="1:3" customFormat="1" x14ac:dyDescent="0.25">
      <c r="A50" s="42"/>
      <c r="B50" s="16" t="s">
        <v>27</v>
      </c>
      <c r="C50" s="10">
        <v>5</v>
      </c>
    </row>
    <row r="51" spans="1:3" customFormat="1" x14ac:dyDescent="0.25">
      <c r="A51" s="42"/>
      <c r="B51" s="9" t="s">
        <v>39</v>
      </c>
      <c r="C51" s="10">
        <v>10</v>
      </c>
    </row>
    <row r="52" spans="1:3" customFormat="1" x14ac:dyDescent="0.25">
      <c r="A52" s="42"/>
      <c r="B52" s="12" t="s">
        <v>28</v>
      </c>
      <c r="C52" s="10">
        <v>20</v>
      </c>
    </row>
    <row r="53" spans="1:3" customFormat="1" x14ac:dyDescent="0.25">
      <c r="A53" s="43"/>
      <c r="B53" s="2" t="s">
        <v>29</v>
      </c>
      <c r="C53" s="10">
        <v>5</v>
      </c>
    </row>
    <row r="65" s="37" customFormat="1" x14ac:dyDescent="0.25"/>
    <row r="66" s="37" customFormat="1" x14ac:dyDescent="0.25"/>
    <row r="67" s="37" customFormat="1" x14ac:dyDescent="0.25"/>
    <row r="68" s="37" customFormat="1" x14ac:dyDescent="0.25"/>
    <row r="69" s="37" customFormat="1" x14ac:dyDescent="0.25"/>
    <row r="70" s="37" customFormat="1" x14ac:dyDescent="0.25"/>
    <row r="71" s="37" customFormat="1" x14ac:dyDescent="0.25"/>
    <row r="72" s="37" customFormat="1" x14ac:dyDescent="0.25"/>
    <row r="73" s="37" customFormat="1" x14ac:dyDescent="0.25"/>
    <row r="74" s="37" customFormat="1" x14ac:dyDescent="0.25"/>
    <row r="75" s="37" customFormat="1" x14ac:dyDescent="0.25"/>
    <row r="76" s="37" customFormat="1" x14ac:dyDescent="0.25"/>
    <row r="77" s="37" customFormat="1" x14ac:dyDescent="0.25"/>
    <row r="78" s="37" customFormat="1" x14ac:dyDescent="0.25"/>
    <row r="79" s="37" customFormat="1" x14ac:dyDescent="0.25"/>
    <row r="80" s="37" customFormat="1" x14ac:dyDescent="0.25"/>
    <row r="81" s="37" customFormat="1" x14ac:dyDescent="0.25"/>
    <row r="82" s="37" customFormat="1" x14ac:dyDescent="0.25"/>
    <row r="83" s="37" customFormat="1" x14ac:dyDescent="0.25"/>
    <row r="84" s="37" customFormat="1" x14ac:dyDescent="0.25"/>
    <row r="85" s="37" customFormat="1" x14ac:dyDescent="0.25"/>
    <row r="86" s="37" customFormat="1" x14ac:dyDescent="0.25"/>
    <row r="87" s="37" customFormat="1" x14ac:dyDescent="0.25"/>
    <row r="88" s="37" customFormat="1" x14ac:dyDescent="0.25"/>
    <row r="89" s="37" customFormat="1" x14ac:dyDescent="0.25"/>
    <row r="90" s="37" customFormat="1" x14ac:dyDescent="0.25"/>
    <row r="91" s="37" customFormat="1" x14ac:dyDescent="0.25"/>
    <row r="92" s="37" customFormat="1" x14ac:dyDescent="0.25"/>
    <row r="93" s="37" customFormat="1" x14ac:dyDescent="0.25"/>
    <row r="94" s="37" customFormat="1" x14ac:dyDescent="0.25"/>
    <row r="95" s="37" customFormat="1" x14ac:dyDescent="0.25"/>
    <row r="96" s="37" customFormat="1" x14ac:dyDescent="0.25"/>
    <row r="97" s="37" customFormat="1" x14ac:dyDescent="0.25"/>
    <row r="98" s="37" customFormat="1" x14ac:dyDescent="0.25"/>
    <row r="99" s="37" customFormat="1" x14ac:dyDescent="0.25"/>
    <row r="100" s="37" customFormat="1" x14ac:dyDescent="0.25"/>
    <row r="101" s="37" customFormat="1" x14ac:dyDescent="0.25"/>
    <row r="102" s="37" customFormat="1" x14ac:dyDescent="0.25"/>
    <row r="103" s="37" customFormat="1" x14ac:dyDescent="0.25"/>
    <row r="104" s="37" customFormat="1" x14ac:dyDescent="0.25"/>
    <row r="105" s="37" customFormat="1" x14ac:dyDescent="0.25"/>
    <row r="106" s="37" customFormat="1" x14ac:dyDescent="0.25"/>
    <row r="107" s="37" customFormat="1" x14ac:dyDescent="0.25"/>
    <row r="108" s="37" customFormat="1" x14ac:dyDescent="0.25"/>
    <row r="109" s="37" customFormat="1" x14ac:dyDescent="0.25"/>
    <row r="110" s="37" customFormat="1" x14ac:dyDescent="0.25"/>
    <row r="111" s="37" customFormat="1" x14ac:dyDescent="0.25"/>
    <row r="112" s="37" customFormat="1" x14ac:dyDescent="0.25"/>
    <row r="113" s="37" customFormat="1" x14ac:dyDescent="0.25"/>
    <row r="114" s="37" customFormat="1" x14ac:dyDescent="0.25"/>
    <row r="115" s="37" customFormat="1" x14ac:dyDescent="0.25"/>
    <row r="116" s="37" customFormat="1" x14ac:dyDescent="0.25"/>
    <row r="117" s="37" customFormat="1" x14ac:dyDescent="0.25"/>
    <row r="118" s="37" customFormat="1" x14ac:dyDescent="0.25"/>
    <row r="119" s="37" customFormat="1" x14ac:dyDescent="0.25"/>
    <row r="120" s="37" customFormat="1" x14ac:dyDescent="0.25"/>
    <row r="121" s="37" customFormat="1" x14ac:dyDescent="0.25"/>
    <row r="122" s="37" customFormat="1" x14ac:dyDescent="0.25"/>
    <row r="123" s="37" customFormat="1" x14ac:dyDescent="0.25"/>
    <row r="124" s="37" customFormat="1" x14ac:dyDescent="0.25"/>
    <row r="125" s="37" customFormat="1" x14ac:dyDescent="0.25"/>
    <row r="126" s="37" customFormat="1" x14ac:dyDescent="0.25"/>
    <row r="127" s="37" customFormat="1" x14ac:dyDescent="0.25"/>
    <row r="128" s="37" customFormat="1" x14ac:dyDescent="0.25"/>
    <row r="129" s="37" customFormat="1" x14ac:dyDescent="0.25"/>
    <row r="130" s="37" customFormat="1" x14ac:dyDescent="0.25"/>
    <row r="131" s="37" customFormat="1" x14ac:dyDescent="0.25"/>
    <row r="132" s="37" customFormat="1" x14ac:dyDescent="0.25"/>
    <row r="133" s="37" customFormat="1" x14ac:dyDescent="0.25"/>
    <row r="134" s="37" customFormat="1" x14ac:dyDescent="0.25"/>
    <row r="135" s="37" customFormat="1" x14ac:dyDescent="0.25"/>
    <row r="136" s="37" customFormat="1" x14ac:dyDescent="0.25"/>
    <row r="137" s="37" customFormat="1" x14ac:dyDescent="0.25"/>
    <row r="138" s="37" customFormat="1" x14ac:dyDescent="0.25"/>
    <row r="139" s="37" customFormat="1" x14ac:dyDescent="0.25"/>
    <row r="140" s="37" customFormat="1" x14ac:dyDescent="0.25"/>
    <row r="141" s="37" customFormat="1" x14ac:dyDescent="0.25"/>
    <row r="142" s="37" customFormat="1" x14ac:dyDescent="0.25"/>
    <row r="143" s="37" customFormat="1" x14ac:dyDescent="0.25"/>
    <row r="144" s="37" customFormat="1" x14ac:dyDescent="0.25"/>
    <row r="145" s="37" customFormat="1" x14ac:dyDescent="0.25"/>
    <row r="146" s="37" customFormat="1" x14ac:dyDescent="0.25"/>
    <row r="147" s="37" customFormat="1" x14ac:dyDescent="0.25"/>
    <row r="148" s="37" customFormat="1" x14ac:dyDescent="0.25"/>
    <row r="149" s="37" customFormat="1" x14ac:dyDescent="0.25"/>
    <row r="150" s="37" customFormat="1" x14ac:dyDescent="0.25"/>
    <row r="151" s="37" customFormat="1" x14ac:dyDescent="0.25"/>
    <row r="152" s="37" customFormat="1" x14ac:dyDescent="0.25"/>
    <row r="153" s="37" customFormat="1" x14ac:dyDescent="0.25"/>
    <row r="154" s="37" customFormat="1" x14ac:dyDescent="0.25"/>
    <row r="155" s="37" customFormat="1" x14ac:dyDescent="0.25"/>
    <row r="156" s="37" customFormat="1" x14ac:dyDescent="0.25"/>
    <row r="157" s="37" customFormat="1" x14ac:dyDescent="0.25"/>
    <row r="158" s="37" customFormat="1" x14ac:dyDescent="0.25"/>
    <row r="159" s="37" customFormat="1" x14ac:dyDescent="0.25"/>
    <row r="160" s="37" customFormat="1" x14ac:dyDescent="0.25"/>
    <row r="161" s="37" customFormat="1" x14ac:dyDescent="0.25"/>
    <row r="162" s="37" customFormat="1" x14ac:dyDescent="0.25"/>
    <row r="163" s="37" customFormat="1" x14ac:dyDescent="0.25"/>
    <row r="164" s="37" customFormat="1" x14ac:dyDescent="0.25"/>
    <row r="165" s="37" customFormat="1" x14ac:dyDescent="0.25"/>
    <row r="166" s="37" customFormat="1" x14ac:dyDescent="0.25"/>
    <row r="167" s="37" customFormat="1" x14ac:dyDescent="0.25"/>
    <row r="168" s="37" customFormat="1" x14ac:dyDescent="0.25"/>
    <row r="169" s="37" customFormat="1" x14ac:dyDescent="0.25"/>
    <row r="170" s="37" customFormat="1" x14ac:dyDescent="0.25"/>
    <row r="171" s="37" customFormat="1" x14ac:dyDescent="0.25"/>
    <row r="172" s="37" customFormat="1" x14ac:dyDescent="0.25"/>
    <row r="173" s="37" customFormat="1" x14ac:dyDescent="0.25"/>
    <row r="174" s="37" customFormat="1" x14ac:dyDescent="0.25"/>
    <row r="175" s="37" customFormat="1" x14ac:dyDescent="0.25"/>
    <row r="176" s="37" customFormat="1" x14ac:dyDescent="0.25"/>
    <row r="177" s="37" customFormat="1" x14ac:dyDescent="0.25"/>
    <row r="178" s="37" customFormat="1" x14ac:dyDescent="0.25"/>
    <row r="179" s="37" customFormat="1" x14ac:dyDescent="0.25"/>
    <row r="180" s="37" customFormat="1" x14ac:dyDescent="0.25"/>
    <row r="181" s="37" customFormat="1" x14ac:dyDescent="0.25"/>
    <row r="182" s="37" customFormat="1" x14ac:dyDescent="0.25"/>
    <row r="183" s="37" customFormat="1" x14ac:dyDescent="0.25"/>
    <row r="184" s="37" customFormat="1" x14ac:dyDescent="0.25"/>
    <row r="185" s="37" customFormat="1" x14ac:dyDescent="0.25"/>
    <row r="186" s="37" customFormat="1" x14ac:dyDescent="0.25"/>
    <row r="187" s="37" customFormat="1" x14ac:dyDescent="0.25"/>
    <row r="188" s="37" customFormat="1" x14ac:dyDescent="0.25"/>
    <row r="189" s="37" customFormat="1" x14ac:dyDescent="0.25"/>
    <row r="190" s="37" customFormat="1" x14ac:dyDescent="0.25"/>
    <row r="191" s="37" customFormat="1" x14ac:dyDescent="0.25"/>
    <row r="192" s="37" customFormat="1" x14ac:dyDescent="0.25"/>
    <row r="193" s="37" customFormat="1" x14ac:dyDescent="0.25"/>
    <row r="194" s="37" customFormat="1" x14ac:dyDescent="0.25"/>
    <row r="195" s="37" customFormat="1" x14ac:dyDescent="0.25"/>
    <row r="196" s="37" customFormat="1" x14ac:dyDescent="0.25"/>
    <row r="197" s="37" customFormat="1" x14ac:dyDescent="0.25"/>
    <row r="198" s="37" customFormat="1" x14ac:dyDescent="0.25"/>
    <row r="199" s="37" customFormat="1" x14ac:dyDescent="0.25"/>
    <row r="200" s="37" customFormat="1" x14ac:dyDescent="0.25"/>
    <row r="201" s="37" customFormat="1" x14ac:dyDescent="0.25"/>
    <row r="202" s="37" customFormat="1" x14ac:dyDescent="0.25"/>
    <row r="203" s="37" customFormat="1" x14ac:dyDescent="0.25"/>
    <row r="204" s="37" customFormat="1" x14ac:dyDescent="0.25"/>
    <row r="205" s="37" customFormat="1" x14ac:dyDescent="0.25"/>
    <row r="206" s="37" customFormat="1" x14ac:dyDescent="0.25"/>
    <row r="207" s="37" customFormat="1" x14ac:dyDescent="0.25"/>
    <row r="208" s="37" customFormat="1" x14ac:dyDescent="0.25"/>
    <row r="209" s="37" customFormat="1" x14ac:dyDescent="0.25"/>
    <row r="210" s="37" customFormat="1" x14ac:dyDescent="0.25"/>
    <row r="211" s="37" customFormat="1" x14ac:dyDescent="0.25"/>
    <row r="212" s="37" customFormat="1" x14ac:dyDescent="0.25"/>
    <row r="213" s="37" customFormat="1" x14ac:dyDescent="0.25"/>
    <row r="214" s="37" customFormat="1" x14ac:dyDescent="0.25"/>
    <row r="215" s="37" customFormat="1" x14ac:dyDescent="0.25"/>
    <row r="216" s="37" customFormat="1" x14ac:dyDescent="0.25"/>
    <row r="217" s="37" customFormat="1" x14ac:dyDescent="0.25"/>
    <row r="218" s="37" customFormat="1" x14ac:dyDescent="0.25"/>
    <row r="219" s="37" customFormat="1" x14ac:dyDescent="0.25"/>
    <row r="220" s="37" customFormat="1" x14ac:dyDescent="0.25"/>
    <row r="221" s="37" customFormat="1" x14ac:dyDescent="0.25"/>
    <row r="222" s="37" customFormat="1" x14ac:dyDescent="0.25"/>
    <row r="223" s="37" customFormat="1" x14ac:dyDescent="0.25"/>
    <row r="224" s="37" customFormat="1" x14ac:dyDescent="0.25"/>
    <row r="225" s="37" customFormat="1" x14ac:dyDescent="0.25"/>
    <row r="226" s="37" customFormat="1" x14ac:dyDescent="0.25"/>
    <row r="227" s="37" customFormat="1" x14ac:dyDescent="0.25"/>
    <row r="228" s="37" customFormat="1" x14ac:dyDescent="0.25"/>
    <row r="229" s="37" customFormat="1" x14ac:dyDescent="0.25"/>
    <row r="230" s="37" customFormat="1" x14ac:dyDescent="0.25"/>
    <row r="231" s="37" customFormat="1" x14ac:dyDescent="0.25"/>
    <row r="232" s="37" customFormat="1" x14ac:dyDescent="0.25"/>
    <row r="233" s="37" customFormat="1" x14ac:dyDescent="0.25"/>
    <row r="234" s="37" customFormat="1" x14ac:dyDescent="0.25"/>
    <row r="235" s="37" customFormat="1" x14ac:dyDescent="0.25"/>
    <row r="236" s="37" customFormat="1" x14ac:dyDescent="0.25"/>
    <row r="237" s="37" customFormat="1" x14ac:dyDescent="0.25"/>
    <row r="238" s="37" customFormat="1" x14ac:dyDescent="0.25"/>
    <row r="239" s="37" customFormat="1" x14ac:dyDescent="0.25"/>
    <row r="240" s="37" customFormat="1" x14ac:dyDescent="0.25"/>
    <row r="241" s="37" customFormat="1" x14ac:dyDescent="0.25"/>
    <row r="242" s="37" customFormat="1" x14ac:dyDescent="0.25"/>
    <row r="243" s="37" customFormat="1" x14ac:dyDescent="0.25"/>
    <row r="244" s="37" customFormat="1" x14ac:dyDescent="0.25"/>
    <row r="245" s="37" customFormat="1" x14ac:dyDescent="0.25"/>
    <row r="246" s="37" customFormat="1" x14ac:dyDescent="0.25"/>
    <row r="247" s="37" customFormat="1" x14ac:dyDescent="0.25"/>
    <row r="248" s="37" customFormat="1" x14ac:dyDescent="0.25"/>
    <row r="249" s="37" customFormat="1" x14ac:dyDescent="0.25"/>
    <row r="250" s="37" customFormat="1" x14ac:dyDescent="0.25"/>
    <row r="251" s="37" customFormat="1" x14ac:dyDescent="0.25"/>
    <row r="252" s="37" customFormat="1" x14ac:dyDescent="0.25"/>
    <row r="253" s="37" customFormat="1" x14ac:dyDescent="0.25"/>
    <row r="254" s="37" customFormat="1" x14ac:dyDescent="0.25"/>
    <row r="255" s="37" customFormat="1" x14ac:dyDescent="0.25"/>
    <row r="256" s="37" customFormat="1" x14ac:dyDescent="0.25"/>
    <row r="257" s="37" customFormat="1" x14ac:dyDescent="0.25"/>
    <row r="258" s="37" customFormat="1" x14ac:dyDescent="0.25"/>
    <row r="259" s="37" customFormat="1" x14ac:dyDescent="0.25"/>
    <row r="260" s="37" customFormat="1" x14ac:dyDescent="0.25"/>
    <row r="261" s="37" customFormat="1" x14ac:dyDescent="0.25"/>
    <row r="262" s="37" customFormat="1" x14ac:dyDescent="0.25"/>
    <row r="263" s="37" customFormat="1" x14ac:dyDescent="0.25"/>
    <row r="264" s="37" customFormat="1" x14ac:dyDescent="0.25"/>
    <row r="265" s="37" customFormat="1" x14ac:dyDescent="0.25"/>
    <row r="266" s="37" customFormat="1" x14ac:dyDescent="0.25"/>
    <row r="267" s="37" customFormat="1" x14ac:dyDescent="0.25"/>
    <row r="268" s="37" customFormat="1" x14ac:dyDescent="0.25"/>
    <row r="269" s="37" customFormat="1" x14ac:dyDescent="0.25"/>
    <row r="270" s="37" customFormat="1" x14ac:dyDescent="0.25"/>
    <row r="271" s="37" customFormat="1" x14ac:dyDescent="0.25"/>
    <row r="272" s="37" customFormat="1" x14ac:dyDescent="0.25"/>
    <row r="273" s="37" customFormat="1" x14ac:dyDescent="0.25"/>
    <row r="274" s="37" customFormat="1" x14ac:dyDescent="0.25"/>
    <row r="275" s="37" customFormat="1" x14ac:dyDescent="0.25"/>
    <row r="276" s="37" customFormat="1" x14ac:dyDescent="0.25"/>
    <row r="277" s="37" customFormat="1" x14ac:dyDescent="0.25"/>
    <row r="278" s="37" customFormat="1" x14ac:dyDescent="0.25"/>
    <row r="279" s="37" customFormat="1" x14ac:dyDescent="0.25"/>
    <row r="280" s="37" customFormat="1" x14ac:dyDescent="0.25"/>
    <row r="281" s="37" customFormat="1" x14ac:dyDescent="0.25"/>
    <row r="282" s="37" customFormat="1" x14ac:dyDescent="0.25"/>
    <row r="283" s="37" customFormat="1" x14ac:dyDescent="0.25"/>
    <row r="284" s="37" customFormat="1" x14ac:dyDescent="0.25"/>
    <row r="285" s="37" customFormat="1" x14ac:dyDescent="0.25"/>
    <row r="286" s="37" customFormat="1" x14ac:dyDescent="0.25"/>
    <row r="287" s="37" customFormat="1" x14ac:dyDescent="0.25"/>
    <row r="288" s="37" customFormat="1" x14ac:dyDescent="0.25"/>
    <row r="289" s="37" customFormat="1" x14ac:dyDescent="0.25"/>
    <row r="290" s="37" customFormat="1" x14ac:dyDescent="0.25"/>
    <row r="291" s="37" customFormat="1" x14ac:dyDescent="0.25"/>
    <row r="292" s="37" customFormat="1" x14ac:dyDescent="0.25"/>
    <row r="293" s="37" customFormat="1" x14ac:dyDescent="0.25"/>
    <row r="294" s="37" customFormat="1" x14ac:dyDescent="0.25"/>
    <row r="295" s="37" customFormat="1" x14ac:dyDescent="0.25"/>
    <row r="296" s="37" customFormat="1" x14ac:dyDescent="0.25"/>
    <row r="297" s="37" customFormat="1" x14ac:dyDescent="0.25"/>
    <row r="298" s="37" customFormat="1" x14ac:dyDescent="0.25"/>
    <row r="299" s="37" customFormat="1" x14ac:dyDescent="0.25"/>
    <row r="300" s="37" customFormat="1" x14ac:dyDescent="0.25"/>
    <row r="301" s="37" customFormat="1" x14ac:dyDescent="0.25"/>
    <row r="302" s="37" customFormat="1" x14ac:dyDescent="0.25"/>
    <row r="303" s="37" customFormat="1" x14ac:dyDescent="0.25"/>
    <row r="304" s="37" customFormat="1" x14ac:dyDescent="0.25"/>
    <row r="305" s="37" customFormat="1" x14ac:dyDescent="0.25"/>
    <row r="306" s="37" customFormat="1" x14ac:dyDescent="0.25"/>
    <row r="307" s="37" customFormat="1" x14ac:dyDescent="0.25"/>
    <row r="308" s="37" customFormat="1" x14ac:dyDescent="0.25"/>
    <row r="309" s="37" customFormat="1" x14ac:dyDescent="0.25"/>
    <row r="310" s="37" customFormat="1" x14ac:dyDescent="0.25"/>
    <row r="311" s="37" customFormat="1" x14ac:dyDescent="0.25"/>
    <row r="312" s="37" customFormat="1" x14ac:dyDescent="0.25"/>
    <row r="313" s="37" customFormat="1" x14ac:dyDescent="0.25"/>
    <row r="314" s="37" customFormat="1" x14ac:dyDescent="0.25"/>
    <row r="315" s="37" customFormat="1" x14ac:dyDescent="0.25"/>
    <row r="316" s="37" customFormat="1" x14ac:dyDescent="0.25"/>
    <row r="317" s="37" customFormat="1" x14ac:dyDescent="0.25"/>
    <row r="318" s="37" customFormat="1" x14ac:dyDescent="0.25"/>
    <row r="319" s="37" customFormat="1" x14ac:dyDescent="0.25"/>
    <row r="320" s="37" customFormat="1" x14ac:dyDescent="0.25"/>
    <row r="321" s="37" customFormat="1" x14ac:dyDescent="0.25"/>
    <row r="322" s="37" customFormat="1" x14ac:dyDescent="0.25"/>
    <row r="323" s="37" customFormat="1" x14ac:dyDescent="0.25"/>
    <row r="324" s="37" customFormat="1" x14ac:dyDescent="0.25"/>
    <row r="325" s="37" customFormat="1" x14ac:dyDescent="0.25"/>
    <row r="326" s="37" customFormat="1" x14ac:dyDescent="0.25"/>
    <row r="327" s="37" customFormat="1" x14ac:dyDescent="0.25"/>
    <row r="328" s="37" customFormat="1" x14ac:dyDescent="0.25"/>
    <row r="329" s="37" customFormat="1" x14ac:dyDescent="0.25"/>
    <row r="330" s="37" customFormat="1" x14ac:dyDescent="0.25"/>
    <row r="331" s="37" customFormat="1" x14ac:dyDescent="0.25"/>
    <row r="332" s="37" customFormat="1" x14ac:dyDescent="0.25"/>
    <row r="333" s="37" customFormat="1" x14ac:dyDescent="0.25"/>
    <row r="334" s="37" customFormat="1" x14ac:dyDescent="0.25"/>
    <row r="335" s="37" customFormat="1" x14ac:dyDescent="0.25"/>
    <row r="336" s="37" customFormat="1" x14ac:dyDescent="0.25"/>
    <row r="337" s="37" customFormat="1" x14ac:dyDescent="0.25"/>
    <row r="338" s="37" customFormat="1" x14ac:dyDescent="0.25"/>
    <row r="339" s="37" customFormat="1" x14ac:dyDescent="0.25"/>
    <row r="340" s="37" customFormat="1" x14ac:dyDescent="0.25"/>
    <row r="341" s="37" customFormat="1" x14ac:dyDescent="0.25"/>
    <row r="342" s="37" customFormat="1" x14ac:dyDescent="0.25"/>
    <row r="343" s="37" customFormat="1" x14ac:dyDescent="0.25"/>
    <row r="344" s="37" customFormat="1" x14ac:dyDescent="0.25"/>
    <row r="345" s="37" customFormat="1" x14ac:dyDescent="0.25"/>
    <row r="346" s="37" customFormat="1" x14ac:dyDescent="0.25"/>
    <row r="347" s="37" customFormat="1" x14ac:dyDescent="0.25"/>
    <row r="348" s="37" customFormat="1" x14ac:dyDescent="0.25"/>
    <row r="349" s="37" customFormat="1" x14ac:dyDescent="0.25"/>
    <row r="350" s="37" customFormat="1" x14ac:dyDescent="0.25"/>
    <row r="351" s="37" customFormat="1" x14ac:dyDescent="0.25"/>
    <row r="352" s="37" customFormat="1" x14ac:dyDescent="0.25"/>
    <row r="353" s="37" customFormat="1" x14ac:dyDescent="0.25"/>
    <row r="354" s="37" customFormat="1" x14ac:dyDescent="0.25"/>
    <row r="355" s="37" customFormat="1" x14ac:dyDescent="0.25"/>
    <row r="356" s="37" customFormat="1" x14ac:dyDescent="0.25"/>
    <row r="357" s="37" customFormat="1" x14ac:dyDescent="0.25"/>
    <row r="358" s="37" customFormat="1" x14ac:dyDescent="0.25"/>
    <row r="359" s="37" customFormat="1" x14ac:dyDescent="0.25"/>
    <row r="360" s="37" customFormat="1" x14ac:dyDescent="0.25"/>
    <row r="361" s="37" customFormat="1" x14ac:dyDescent="0.25"/>
    <row r="362" s="37" customFormat="1" x14ac:dyDescent="0.25"/>
    <row r="363" s="37" customFormat="1" x14ac:dyDescent="0.25"/>
    <row r="364" s="37" customFormat="1" x14ac:dyDescent="0.25"/>
    <row r="365" s="37" customFormat="1" x14ac:dyDescent="0.25"/>
    <row r="366" s="37" customFormat="1" x14ac:dyDescent="0.25"/>
    <row r="367" s="37" customFormat="1" x14ac:dyDescent="0.25"/>
    <row r="368" s="37" customFormat="1" x14ac:dyDescent="0.25"/>
    <row r="369" s="37" customFormat="1" x14ac:dyDescent="0.25"/>
    <row r="370" s="37" customFormat="1" x14ac:dyDescent="0.25"/>
    <row r="371" s="37" customFormat="1" x14ac:dyDescent="0.25"/>
    <row r="372" s="37" customFormat="1" x14ac:dyDescent="0.25"/>
    <row r="373" s="37" customFormat="1" x14ac:dyDescent="0.25"/>
    <row r="374" s="37" customFormat="1" x14ac:dyDescent="0.25"/>
    <row r="375" s="37" customFormat="1" x14ac:dyDescent="0.25"/>
    <row r="376" s="37" customFormat="1" x14ac:dyDescent="0.25"/>
    <row r="377" s="37" customFormat="1" x14ac:dyDescent="0.25"/>
    <row r="378" s="37" customFormat="1" x14ac:dyDescent="0.25"/>
    <row r="379" s="37" customFormat="1" x14ac:dyDescent="0.25"/>
    <row r="380" s="37" customFormat="1" x14ac:dyDescent="0.25"/>
    <row r="381" s="37" customFormat="1" x14ac:dyDescent="0.25"/>
    <row r="382" s="37" customFormat="1" x14ac:dyDescent="0.25"/>
    <row r="383" s="37" customFormat="1" x14ac:dyDescent="0.25"/>
    <row r="384" s="37" customFormat="1" x14ac:dyDescent="0.25"/>
    <row r="385" s="37" customFormat="1" x14ac:dyDescent="0.25"/>
    <row r="386" s="37" customFormat="1" x14ac:dyDescent="0.25"/>
    <row r="387" s="37" customFormat="1" x14ac:dyDescent="0.25"/>
    <row r="388" s="37" customFormat="1" x14ac:dyDescent="0.25"/>
    <row r="389" s="37" customFormat="1" x14ac:dyDescent="0.25"/>
    <row r="390" s="37" customFormat="1" x14ac:dyDescent="0.25"/>
    <row r="391" s="37" customFormat="1" x14ac:dyDescent="0.25"/>
    <row r="392" s="37" customFormat="1" x14ac:dyDescent="0.25"/>
    <row r="393" s="37" customFormat="1" x14ac:dyDescent="0.25"/>
    <row r="394" s="37" customFormat="1" x14ac:dyDescent="0.25"/>
    <row r="395" s="37" customFormat="1" x14ac:dyDescent="0.25"/>
    <row r="396" s="37" customFormat="1" x14ac:dyDescent="0.25"/>
    <row r="397" s="37" customFormat="1" x14ac:dyDescent="0.25"/>
    <row r="398" s="37" customFormat="1" x14ac:dyDescent="0.25"/>
    <row r="399" s="37" customFormat="1" x14ac:dyDescent="0.25"/>
    <row r="400" s="37" customFormat="1" x14ac:dyDescent="0.25"/>
    <row r="401" s="37" customFormat="1" x14ac:dyDescent="0.25"/>
    <row r="402" s="37" customFormat="1" x14ac:dyDescent="0.25"/>
    <row r="403" s="37" customFormat="1" x14ac:dyDescent="0.25"/>
    <row r="404" s="37" customFormat="1" x14ac:dyDescent="0.25"/>
    <row r="405" s="37" customFormat="1" x14ac:dyDescent="0.25"/>
    <row r="406" s="37" customFormat="1" x14ac:dyDescent="0.25"/>
    <row r="407" s="37" customFormat="1" x14ac:dyDescent="0.25"/>
    <row r="408" s="37" customFormat="1" x14ac:dyDescent="0.25"/>
    <row r="409" s="37" customFormat="1" x14ac:dyDescent="0.25"/>
    <row r="410" s="37" customFormat="1" x14ac:dyDescent="0.25"/>
    <row r="411" s="37" customFormat="1" x14ac:dyDescent="0.25"/>
    <row r="412" s="37" customFormat="1" x14ac:dyDescent="0.25"/>
    <row r="413" s="37" customFormat="1" x14ac:dyDescent="0.25"/>
    <row r="414" s="37" customFormat="1" x14ac:dyDescent="0.25"/>
    <row r="415" s="37" customFormat="1" x14ac:dyDescent="0.25"/>
    <row r="416" s="37" customFormat="1" x14ac:dyDescent="0.25"/>
    <row r="417" s="37" customFormat="1" x14ac:dyDescent="0.25"/>
    <row r="418" s="37" customFormat="1" x14ac:dyDescent="0.25"/>
    <row r="419" s="37" customFormat="1" x14ac:dyDescent="0.25"/>
    <row r="420" s="37" customFormat="1" x14ac:dyDescent="0.25"/>
    <row r="421" s="37" customFormat="1" x14ac:dyDescent="0.25"/>
    <row r="422" s="37" customFormat="1" x14ac:dyDescent="0.25"/>
    <row r="423" s="37" customFormat="1" x14ac:dyDescent="0.25"/>
    <row r="424" s="37" customFormat="1" x14ac:dyDescent="0.25"/>
    <row r="425" s="37" customFormat="1" x14ac:dyDescent="0.25"/>
    <row r="426" s="37" customFormat="1" x14ac:dyDescent="0.25"/>
    <row r="427" s="37" customFormat="1" x14ac:dyDescent="0.25"/>
    <row r="428" s="37" customFormat="1" x14ac:dyDescent="0.25"/>
    <row r="429" s="37" customFormat="1" x14ac:dyDescent="0.25"/>
    <row r="430" s="37" customFormat="1" x14ac:dyDescent="0.25"/>
    <row r="431" s="37" customFormat="1" x14ac:dyDescent="0.25"/>
    <row r="432" s="37" customFormat="1" x14ac:dyDescent="0.25"/>
    <row r="433" s="37" customFormat="1" x14ac:dyDescent="0.25"/>
    <row r="434" s="37" customFormat="1" x14ac:dyDescent="0.25"/>
    <row r="435" s="37" customFormat="1" x14ac:dyDescent="0.25"/>
    <row r="436" s="37" customFormat="1" x14ac:dyDescent="0.25"/>
    <row r="437" s="37" customFormat="1" x14ac:dyDescent="0.25"/>
    <row r="438" s="37" customFormat="1" x14ac:dyDescent="0.25"/>
    <row r="439" s="37" customFormat="1" x14ac:dyDescent="0.25"/>
    <row r="440" s="37" customFormat="1" x14ac:dyDescent="0.25"/>
    <row r="441" s="37" customFormat="1" x14ac:dyDescent="0.25"/>
    <row r="442" s="37" customFormat="1" x14ac:dyDescent="0.25"/>
    <row r="443" s="37" customFormat="1" x14ac:dyDescent="0.25"/>
    <row r="444" s="37" customFormat="1" x14ac:dyDescent="0.25"/>
    <row r="445" s="37" customFormat="1" x14ac:dyDescent="0.25"/>
    <row r="446" s="37" customFormat="1" x14ac:dyDescent="0.25"/>
    <row r="447" s="37" customFormat="1" x14ac:dyDescent="0.25"/>
    <row r="448" s="37" customFormat="1" x14ac:dyDescent="0.25"/>
    <row r="449" s="37" customFormat="1" x14ac:dyDescent="0.25"/>
    <row r="450" s="37" customFormat="1" x14ac:dyDescent="0.25"/>
    <row r="451" s="37" customFormat="1" x14ac:dyDescent="0.25"/>
    <row r="452" s="37" customFormat="1" x14ac:dyDescent="0.25"/>
    <row r="453" s="37" customFormat="1" x14ac:dyDescent="0.25"/>
    <row r="454" s="37" customFormat="1" x14ac:dyDescent="0.25"/>
    <row r="455" s="37" customFormat="1" x14ac:dyDescent="0.25"/>
    <row r="456" s="37" customFormat="1" x14ac:dyDescent="0.25"/>
    <row r="457" s="37" customFormat="1" x14ac:dyDescent="0.25"/>
    <row r="458" s="37" customFormat="1" x14ac:dyDescent="0.25"/>
    <row r="459" s="37" customFormat="1" x14ac:dyDescent="0.25"/>
    <row r="460" s="37" customFormat="1" x14ac:dyDescent="0.25"/>
    <row r="461" s="37" customFormat="1" x14ac:dyDescent="0.25"/>
    <row r="462" s="37" customFormat="1" x14ac:dyDescent="0.25"/>
    <row r="463" s="37" customFormat="1" x14ac:dyDescent="0.25"/>
    <row r="464" s="37" customFormat="1" x14ac:dyDescent="0.25"/>
    <row r="465" s="37" customFormat="1" x14ac:dyDescent="0.25"/>
    <row r="466" s="37" customFormat="1" x14ac:dyDescent="0.25"/>
    <row r="467" s="37" customFormat="1" x14ac:dyDescent="0.25"/>
    <row r="468" s="37" customFormat="1" x14ac:dyDescent="0.25"/>
    <row r="469" s="37" customFormat="1" x14ac:dyDescent="0.25"/>
    <row r="470" s="37" customFormat="1" x14ac:dyDescent="0.25"/>
    <row r="471" s="37" customFormat="1" x14ac:dyDescent="0.25"/>
    <row r="472" s="37" customFormat="1" x14ac:dyDescent="0.25"/>
    <row r="473" s="37" customFormat="1" x14ac:dyDescent="0.25"/>
    <row r="474" s="37" customFormat="1" x14ac:dyDescent="0.25"/>
    <row r="475" s="37" customFormat="1" x14ac:dyDescent="0.25"/>
    <row r="476" s="37" customFormat="1" x14ac:dyDescent="0.25"/>
    <row r="477" s="37" customFormat="1" x14ac:dyDescent="0.25"/>
    <row r="478" s="37" customFormat="1" x14ac:dyDescent="0.25"/>
    <row r="479" s="37" customFormat="1" x14ac:dyDescent="0.25"/>
    <row r="480" s="37" customFormat="1" x14ac:dyDescent="0.25"/>
    <row r="481" s="37" customFormat="1" x14ac:dyDescent="0.25"/>
    <row r="482" s="37" customFormat="1" x14ac:dyDescent="0.25"/>
    <row r="483" s="37" customFormat="1" x14ac:dyDescent="0.25"/>
    <row r="484" s="37" customFormat="1" x14ac:dyDescent="0.25"/>
    <row r="485" s="37" customFormat="1" x14ac:dyDescent="0.25"/>
    <row r="486" s="37" customFormat="1" x14ac:dyDescent="0.25"/>
    <row r="487" s="37" customFormat="1" x14ac:dyDescent="0.25"/>
    <row r="488" s="37" customFormat="1" x14ac:dyDescent="0.25"/>
    <row r="489" s="37" customFormat="1" x14ac:dyDescent="0.25"/>
    <row r="490" s="37" customFormat="1" x14ac:dyDescent="0.25"/>
    <row r="491" s="37" customFormat="1" x14ac:dyDescent="0.25"/>
    <row r="492" s="37" customFormat="1" x14ac:dyDescent="0.25"/>
    <row r="493" s="37" customFormat="1" x14ac:dyDescent="0.25"/>
    <row r="494" s="37" customFormat="1" x14ac:dyDescent="0.25"/>
    <row r="495" s="37" customFormat="1" x14ac:dyDescent="0.25"/>
    <row r="496" s="37" customFormat="1" x14ac:dyDescent="0.25"/>
    <row r="497" s="37" customFormat="1" x14ac:dyDescent="0.25"/>
    <row r="498" s="37" customFormat="1" x14ac:dyDescent="0.25"/>
    <row r="499" s="37" customFormat="1" x14ac:dyDescent="0.25"/>
    <row r="500" s="37" customFormat="1" x14ac:dyDescent="0.25"/>
    <row r="501" s="37" customFormat="1" x14ac:dyDescent="0.25"/>
    <row r="502" s="37" customFormat="1" x14ac:dyDescent="0.25"/>
    <row r="503" s="37" customFormat="1" x14ac:dyDescent="0.25"/>
    <row r="504" s="37" customFormat="1" x14ac:dyDescent="0.25"/>
    <row r="505" s="37" customFormat="1" x14ac:dyDescent="0.25"/>
    <row r="506" s="37" customFormat="1" x14ac:dyDescent="0.25"/>
    <row r="507" s="37" customFormat="1" x14ac:dyDescent="0.25"/>
    <row r="508" s="37" customFormat="1" x14ac:dyDescent="0.25"/>
    <row r="509" s="37" customFormat="1" x14ac:dyDescent="0.25"/>
    <row r="510" s="37" customFormat="1" x14ac:dyDescent="0.25"/>
    <row r="511" s="37" customFormat="1" x14ac:dyDescent="0.25"/>
    <row r="512" s="37" customFormat="1" x14ac:dyDescent="0.25"/>
    <row r="513" s="37" customFormat="1" x14ac:dyDescent="0.25"/>
    <row r="514" s="37" customFormat="1" x14ac:dyDescent="0.25"/>
    <row r="515" s="37" customFormat="1" x14ac:dyDescent="0.25"/>
    <row r="516" s="37" customFormat="1" x14ac:dyDescent="0.25"/>
    <row r="517" s="37" customFormat="1" x14ac:dyDescent="0.25"/>
    <row r="518" s="37" customFormat="1" x14ac:dyDescent="0.25"/>
    <row r="519" s="37" customFormat="1" x14ac:dyDescent="0.25"/>
    <row r="520" s="37" customFormat="1" x14ac:dyDescent="0.25"/>
    <row r="521" s="37" customFormat="1" x14ac:dyDescent="0.25"/>
    <row r="522" s="37" customFormat="1" x14ac:dyDescent="0.25"/>
    <row r="523" s="37" customFormat="1" x14ac:dyDescent="0.25"/>
    <row r="524" s="37" customFormat="1" x14ac:dyDescent="0.25"/>
    <row r="525" s="37" customFormat="1" x14ac:dyDescent="0.25"/>
    <row r="526" s="37" customFormat="1" x14ac:dyDescent="0.25"/>
    <row r="527" s="37" customFormat="1" x14ac:dyDescent="0.25"/>
    <row r="528" s="37" customFormat="1" x14ac:dyDescent="0.25"/>
    <row r="529" s="37" customFormat="1" x14ac:dyDescent="0.25"/>
    <row r="530" s="37" customFormat="1" x14ac:dyDescent="0.25"/>
    <row r="531" s="37" customFormat="1" x14ac:dyDescent="0.25"/>
    <row r="532" s="37" customFormat="1" x14ac:dyDescent="0.25"/>
    <row r="533" s="37" customFormat="1" x14ac:dyDescent="0.25"/>
    <row r="534" s="37" customFormat="1" x14ac:dyDescent="0.25"/>
    <row r="535" s="37" customFormat="1" x14ac:dyDescent="0.25"/>
    <row r="536" s="37" customFormat="1" x14ac:dyDescent="0.25"/>
    <row r="537" s="37" customFormat="1" x14ac:dyDescent="0.25"/>
    <row r="538" s="37" customFormat="1" x14ac:dyDescent="0.25"/>
    <row r="539" s="37" customFormat="1" x14ac:dyDescent="0.25"/>
    <row r="540" s="37" customFormat="1" x14ac:dyDescent="0.25"/>
    <row r="541" s="37" customFormat="1" x14ac:dyDescent="0.25"/>
    <row r="542" s="37" customFormat="1" x14ac:dyDescent="0.25"/>
    <row r="543" s="37" customFormat="1" x14ac:dyDescent="0.25"/>
    <row r="544" s="37" customFormat="1" x14ac:dyDescent="0.25"/>
    <row r="545" s="37" customFormat="1" x14ac:dyDescent="0.25"/>
    <row r="546" s="37" customFormat="1" x14ac:dyDescent="0.25"/>
    <row r="547" s="37" customFormat="1" x14ac:dyDescent="0.25"/>
    <row r="548" s="37" customFormat="1" x14ac:dyDescent="0.25"/>
    <row r="549" s="37" customFormat="1" x14ac:dyDescent="0.25"/>
    <row r="550" s="37" customFormat="1" x14ac:dyDescent="0.25"/>
    <row r="551" s="37" customFormat="1" x14ac:dyDescent="0.25"/>
    <row r="552" s="37" customFormat="1" x14ac:dyDescent="0.25"/>
  </sheetData>
  <mergeCells count="10">
    <mergeCell ref="A54:XFD1048576"/>
    <mergeCell ref="A1:XFD1"/>
    <mergeCell ref="A35:A44"/>
    <mergeCell ref="A46:A53"/>
    <mergeCell ref="A2:C2"/>
    <mergeCell ref="A3:A8"/>
    <mergeCell ref="A10:A14"/>
    <mergeCell ref="A16:A22"/>
    <mergeCell ref="A24:C24"/>
    <mergeCell ref="A25:A33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595CED-5565-4393-87B4-8A129A866DF8}">
  <sheetPr codeName="Feuil5"/>
  <dimension ref="A2:H148"/>
  <sheetViews>
    <sheetView topLeftCell="B1" zoomScale="85" zoomScaleNormal="85" workbookViewId="0">
      <selection activeCell="D49" sqref="D49"/>
    </sheetView>
  </sheetViews>
  <sheetFormatPr baseColWidth="10" defaultColWidth="47.42578125" defaultRowHeight="15" x14ac:dyDescent="0.25"/>
  <cols>
    <col min="1" max="1" width="41.42578125" style="17" bestFit="1" customWidth="1"/>
    <col min="2" max="2" width="64.42578125" bestFit="1" customWidth="1"/>
    <col min="3" max="3" width="8.42578125" style="18" customWidth="1"/>
    <col min="4" max="4" width="10.42578125" customWidth="1"/>
    <col min="5" max="5" width="8.42578125" customWidth="1"/>
    <col min="6" max="6" width="27.85546875" style="19" customWidth="1"/>
  </cols>
  <sheetData>
    <row r="2" spans="1:8" ht="18.75" x14ac:dyDescent="0.3">
      <c r="A2" s="34" t="s">
        <v>0</v>
      </c>
      <c r="B2" s="34"/>
      <c r="C2" s="34"/>
    </row>
    <row r="3" spans="1:8" ht="15" customHeight="1" x14ac:dyDescent="0.25">
      <c r="A3" s="57" t="s">
        <v>1</v>
      </c>
      <c r="B3" s="20" t="s">
        <v>2</v>
      </c>
      <c r="C3" s="21">
        <v>15</v>
      </c>
      <c r="F3" s="61" t="str" cm="1">
        <f t="array" ref="F3">IF(OR(D3="ABI", D4="ABI", D5="ABI", D6="ABI", D7="ABI", D8="ABI"), "ABI", IF(SUM(D3:D8)=0, "Pas de note", SUMPRODUCT((D3:D8&lt;&gt;"")*(D3:D8*C3:C8)) / SUMPRODUCT((D3:D8&lt;&gt;"")*C3:C8)))</f>
        <v>Pas de note</v>
      </c>
    </row>
    <row r="4" spans="1:8" x14ac:dyDescent="0.25">
      <c r="A4" s="57"/>
      <c r="B4" s="20" t="s">
        <v>3</v>
      </c>
      <c r="C4" s="21">
        <v>20</v>
      </c>
      <c r="F4" s="61"/>
    </row>
    <row r="5" spans="1:8" x14ac:dyDescent="0.25">
      <c r="A5" s="57"/>
      <c r="B5" s="20" t="s">
        <v>4</v>
      </c>
      <c r="C5" s="21">
        <v>20</v>
      </c>
      <c r="F5" s="61"/>
    </row>
    <row r="6" spans="1:8" x14ac:dyDescent="0.25">
      <c r="A6" s="57"/>
      <c r="B6" s="2" t="s">
        <v>40</v>
      </c>
      <c r="C6" s="21">
        <v>5</v>
      </c>
      <c r="F6" s="61"/>
    </row>
    <row r="7" spans="1:8" x14ac:dyDescent="0.25">
      <c r="A7" s="57"/>
      <c r="B7" s="20" t="s">
        <v>6</v>
      </c>
      <c r="C7" s="21">
        <v>30</v>
      </c>
      <c r="F7" s="61"/>
    </row>
    <row r="8" spans="1:8" x14ac:dyDescent="0.25">
      <c r="A8" s="57"/>
      <c r="B8" s="20" t="s">
        <v>7</v>
      </c>
      <c r="C8" s="21">
        <v>10</v>
      </c>
      <c r="F8" s="61"/>
    </row>
    <row r="9" spans="1:8" ht="15" customHeight="1" x14ac:dyDescent="0.25">
      <c r="A9" s="58" t="s">
        <v>8</v>
      </c>
      <c r="B9" s="22" t="s">
        <v>9</v>
      </c>
      <c r="C9" s="23">
        <v>20</v>
      </c>
      <c r="D9">
        <v>17.5</v>
      </c>
      <c r="F9" s="61" cm="1">
        <f t="array" ref="F9">IF(OR(D9="ABI", D10="ABI", D11="ABI", D12="ABI", D13="ABI"), "ABI", IF(SUM(D9:D13)=0, "Pas de note", SUMPRODUCT((D9:D13&lt;&gt;"")*(D9:D13*C9:C13)) / SUMPRODUCT((D9:D13&lt;&gt;"")*C9:C13)))</f>
        <v>14.424242539839311</v>
      </c>
      <c r="H9" s="56" t="str">
        <f>IF(OR(F3="ABI", F14="ABI", F9="ABI", COUNTIF(F3:F20,"ABI")&gt;0), "Passage refusé", IF(AND(AND(F3&gt;=8, F14&gt;=8, F9&gt;=8), COUNTIF(F3:F20,"&gt;=10")&gt;=2), "Passage autorisé", "Passage refusé"))</f>
        <v>Passage refusé</v>
      </c>
    </row>
    <row r="10" spans="1:8" ht="15" customHeight="1" x14ac:dyDescent="0.25">
      <c r="A10" s="58"/>
      <c r="B10" s="22" t="s">
        <v>10</v>
      </c>
      <c r="C10" s="23">
        <v>15</v>
      </c>
      <c r="D10">
        <v>18</v>
      </c>
      <c r="F10" s="61"/>
      <c r="H10" s="56"/>
    </row>
    <row r="11" spans="1:8" x14ac:dyDescent="0.25">
      <c r="A11" s="58"/>
      <c r="B11" s="22" t="s">
        <v>11</v>
      </c>
      <c r="C11" s="23">
        <v>20</v>
      </c>
      <c r="D11">
        <v>8.6666669845581055</v>
      </c>
      <c r="F11" s="61"/>
      <c r="H11" s="56"/>
    </row>
    <row r="12" spans="1:8" x14ac:dyDescent="0.25">
      <c r="A12" s="58"/>
      <c r="B12" s="2" t="s">
        <v>5</v>
      </c>
      <c r="C12" s="23">
        <v>5</v>
      </c>
      <c r="F12" s="61"/>
      <c r="H12" s="56"/>
    </row>
    <row r="13" spans="1:8" ht="30" x14ac:dyDescent="0.25">
      <c r="A13" s="58"/>
      <c r="B13" s="22" t="s">
        <v>12</v>
      </c>
      <c r="C13" s="23">
        <v>40</v>
      </c>
      <c r="F13" s="61"/>
      <c r="H13" s="56"/>
    </row>
    <row r="14" spans="1:8" ht="15" customHeight="1" x14ac:dyDescent="0.25">
      <c r="A14" s="59" t="s">
        <v>13</v>
      </c>
      <c r="B14" s="24" t="s">
        <v>14</v>
      </c>
      <c r="C14" s="25">
        <v>15</v>
      </c>
      <c r="F14" s="61" t="str" cm="1">
        <f t="array" ref="F14">IF(OR(D14="ABI", D15="ABI", D16="ABI", D17="ABI", D18="ABI", D19="ABI", D20="ABI"), "ABI", IF(SUM(D14:D20)=0, "Pas de note", SUMPRODUCT((D14:D20&lt;&gt;"")*(D14:D20*C14:C20)) / SUMPRODUCT((D14:D20&lt;&gt;"")*C14:C20)))</f>
        <v>Pas de note</v>
      </c>
    </row>
    <row r="15" spans="1:8" x14ac:dyDescent="0.25">
      <c r="A15" s="59"/>
      <c r="B15" s="24" t="s">
        <v>15</v>
      </c>
      <c r="C15" s="25">
        <v>15</v>
      </c>
      <c r="F15" s="61"/>
    </row>
    <row r="16" spans="1:8" ht="30" x14ac:dyDescent="0.25">
      <c r="A16" s="59"/>
      <c r="B16" s="24" t="s">
        <v>16</v>
      </c>
      <c r="C16" s="25">
        <v>25</v>
      </c>
      <c r="F16" s="61"/>
    </row>
    <row r="17" spans="1:8" x14ac:dyDescent="0.25">
      <c r="A17" s="59"/>
      <c r="B17" s="2" t="s">
        <v>5</v>
      </c>
      <c r="C17" s="25">
        <v>5</v>
      </c>
      <c r="F17" s="61"/>
    </row>
    <row r="18" spans="1:8" x14ac:dyDescent="0.25">
      <c r="A18" s="59"/>
      <c r="B18" s="24" t="s">
        <v>17</v>
      </c>
      <c r="C18" s="25">
        <v>15</v>
      </c>
      <c r="F18" s="61"/>
    </row>
    <row r="19" spans="1:8" x14ac:dyDescent="0.25">
      <c r="A19" s="59"/>
      <c r="B19" s="24" t="s">
        <v>18</v>
      </c>
      <c r="C19" s="25">
        <v>10</v>
      </c>
      <c r="F19" s="61"/>
    </row>
    <row r="20" spans="1:8" x14ac:dyDescent="0.25">
      <c r="A20" s="59"/>
      <c r="B20" s="24" t="s">
        <v>19</v>
      </c>
      <c r="C20" s="25">
        <v>15</v>
      </c>
      <c r="F20" s="61"/>
    </row>
    <row r="21" spans="1:8" x14ac:dyDescent="0.25">
      <c r="A21" s="26"/>
      <c r="B21" s="27"/>
      <c r="C21" s="28"/>
    </row>
    <row r="22" spans="1:8" ht="18.75" x14ac:dyDescent="0.3">
      <c r="A22" s="33" t="s">
        <v>20</v>
      </c>
      <c r="B22" s="33"/>
      <c r="C22" s="33"/>
    </row>
    <row r="23" spans="1:8" x14ac:dyDescent="0.25">
      <c r="A23" s="57" t="s">
        <v>1</v>
      </c>
      <c r="B23" s="20" t="s">
        <v>21</v>
      </c>
      <c r="C23" s="21">
        <v>10</v>
      </c>
      <c r="F23" s="61" t="str" cm="1">
        <f t="array" ref="F23">IF(OR(D23="ABI", D24="ABI", D25="ABI", D26="ABI", D27="ABI", D28="ABI", D29="ABI", D30="ABI", D31="ABI"), "ABI", IF(SUM(D23:D31)=0, "Pas de note", SUMPRODUCT((D23:D31&lt;&gt;"")*(D23:D31*C23:C31)) / SUMPRODUCT((D23:D31&lt;&gt;"")*C23:C31)))</f>
        <v>Pas de note</v>
      </c>
    </row>
    <row r="24" spans="1:8" x14ac:dyDescent="0.25">
      <c r="A24" s="57"/>
      <c r="B24" s="20" t="s">
        <v>22</v>
      </c>
      <c r="C24" s="21">
        <v>15</v>
      </c>
      <c r="F24" s="61"/>
    </row>
    <row r="25" spans="1:8" x14ac:dyDescent="0.25">
      <c r="A25" s="57"/>
      <c r="B25" s="20" t="s">
        <v>23</v>
      </c>
      <c r="C25" s="21">
        <v>15</v>
      </c>
      <c r="F25" s="61"/>
    </row>
    <row r="26" spans="1:8" x14ac:dyDescent="0.25">
      <c r="A26" s="57"/>
      <c r="B26" s="20" t="s">
        <v>24</v>
      </c>
      <c r="C26" s="21">
        <v>15</v>
      </c>
      <c r="F26" s="61"/>
    </row>
    <row r="27" spans="1:8" x14ac:dyDescent="0.25">
      <c r="A27" s="57"/>
      <c r="B27" s="2" t="s">
        <v>25</v>
      </c>
      <c r="C27" s="21">
        <v>5</v>
      </c>
      <c r="F27" s="61"/>
    </row>
    <row r="28" spans="1:8" ht="15.95" customHeight="1" x14ac:dyDescent="0.25">
      <c r="A28" s="57"/>
      <c r="B28" s="20" t="s">
        <v>26</v>
      </c>
      <c r="C28" s="21">
        <v>10</v>
      </c>
      <c r="F28" s="61"/>
    </row>
    <row r="29" spans="1:8" ht="15.95" customHeight="1" x14ac:dyDescent="0.25">
      <c r="A29" s="57"/>
      <c r="B29" s="12" t="s">
        <v>27</v>
      </c>
      <c r="C29" s="21">
        <v>5</v>
      </c>
      <c r="F29" s="61"/>
    </row>
    <row r="30" spans="1:8" x14ac:dyDescent="0.25">
      <c r="A30" s="57"/>
      <c r="B30" s="12" t="s">
        <v>28</v>
      </c>
      <c r="C30" s="21">
        <v>20</v>
      </c>
      <c r="F30" s="61"/>
    </row>
    <row r="31" spans="1:8" x14ac:dyDescent="0.25">
      <c r="A31" s="57"/>
      <c r="B31" s="2" t="s">
        <v>29</v>
      </c>
      <c r="C31" s="21">
        <v>5</v>
      </c>
      <c r="F31" s="61"/>
    </row>
    <row r="32" spans="1:8" ht="15" customHeight="1" x14ac:dyDescent="0.25">
      <c r="A32" s="60" t="s">
        <v>8</v>
      </c>
      <c r="B32" s="29" t="s">
        <v>30</v>
      </c>
      <c r="C32" s="30">
        <v>10</v>
      </c>
      <c r="F32" s="61" t="str" cm="1">
        <f t="array" ref="F32">IF(OR(D32="ABI", D33="ABI", D34="ABI", D35="ABI", D36="ABI", D37="ABI", D38="ABI", D39="ABI", D40="ABI", D41="ABI"), "ABI", IF(SUM(D32:D41)=0, "Pas de note", SUMPRODUCT((D32:D41&lt;&gt;"")*(D32:D41*C32:C41)) / SUMPRODUCT((D32:D41&lt;&gt;"")*C32:C41)))</f>
        <v>Pas de note</v>
      </c>
      <c r="H32" s="56" t="str">
        <f>IF(OR(F32="ABI", F42="ABI", F23="ABI", COUNTIF(F23:F49,"ABI")&gt;0), "Passage refusé", IF(AND(AND(F32&gt;=8, F42&gt;=8, F23&gt;=8), COUNTIF(F23:F49,"&gt;=10")&gt;=2), "Passage autorisé", "Passage refusé"))</f>
        <v>Passage refusé</v>
      </c>
    </row>
    <row r="33" spans="1:8" x14ac:dyDescent="0.25">
      <c r="A33" s="60"/>
      <c r="B33" s="29" t="s">
        <v>31</v>
      </c>
      <c r="C33" s="30">
        <v>15</v>
      </c>
      <c r="F33" s="61"/>
      <c r="H33" s="56"/>
    </row>
    <row r="34" spans="1:8" x14ac:dyDescent="0.25">
      <c r="A34" s="60"/>
      <c r="B34" s="29" t="s">
        <v>32</v>
      </c>
      <c r="C34" s="30">
        <v>15</v>
      </c>
      <c r="F34" s="61"/>
      <c r="H34" s="56"/>
    </row>
    <row r="35" spans="1:8" x14ac:dyDescent="0.25">
      <c r="A35" s="60"/>
      <c r="B35" s="29" t="s">
        <v>33</v>
      </c>
      <c r="C35" s="30">
        <v>15</v>
      </c>
      <c r="F35" s="61"/>
      <c r="H35" s="56"/>
    </row>
    <row r="36" spans="1:8" x14ac:dyDescent="0.25">
      <c r="A36" s="60"/>
      <c r="B36" s="2" t="s">
        <v>25</v>
      </c>
      <c r="C36" s="30">
        <v>5</v>
      </c>
      <c r="F36" s="61"/>
      <c r="H36" s="56"/>
    </row>
    <row r="37" spans="1:8" x14ac:dyDescent="0.25">
      <c r="A37" s="60"/>
      <c r="B37" s="29" t="s">
        <v>34</v>
      </c>
      <c r="C37" s="30">
        <v>10</v>
      </c>
      <c r="F37" s="61"/>
      <c r="H37" s="56"/>
    </row>
    <row r="38" spans="1:8" x14ac:dyDescent="0.25">
      <c r="A38" s="60"/>
      <c r="B38" s="29" t="s">
        <v>35</v>
      </c>
      <c r="C38" s="30">
        <v>10</v>
      </c>
      <c r="F38" s="61"/>
      <c r="H38" s="56"/>
    </row>
    <row r="39" spans="1:8" x14ac:dyDescent="0.25">
      <c r="A39" s="60"/>
      <c r="B39" s="12" t="s">
        <v>27</v>
      </c>
      <c r="C39" s="30">
        <v>5</v>
      </c>
      <c r="F39" s="61"/>
      <c r="H39" s="56"/>
    </row>
    <row r="40" spans="1:8" x14ac:dyDescent="0.25">
      <c r="A40" s="60"/>
      <c r="B40" s="12" t="s">
        <v>28</v>
      </c>
      <c r="C40" s="30">
        <v>10</v>
      </c>
      <c r="F40" s="61"/>
      <c r="H40" s="56"/>
    </row>
    <row r="41" spans="1:8" x14ac:dyDescent="0.25">
      <c r="A41" s="60"/>
      <c r="B41" s="2" t="s">
        <v>29</v>
      </c>
      <c r="C41" s="30">
        <v>5</v>
      </c>
      <c r="F41" s="61"/>
      <c r="H41" s="56"/>
    </row>
    <row r="42" spans="1:8" ht="15" customHeight="1" x14ac:dyDescent="0.25">
      <c r="A42" s="59" t="s">
        <v>13</v>
      </c>
      <c r="B42" s="24" t="s">
        <v>36</v>
      </c>
      <c r="C42" s="25">
        <v>15</v>
      </c>
      <c r="F42" s="61" t="str" cm="1">
        <f t="array" ref="F42">IF(OR(D42="ABI", D43="ABI", D44="ABI", D45="ABI", D46="ABI", D47="ABI", D48="ABI", D49="ABI"), "ABI", IF(SUM(D42:D49)=0, "Pas de note", SUMPRODUCT((D42:D49&lt;&gt;"")*(D42:D49*C42:C49)) / SUMPRODUCT((D42:D49&lt;&gt;"")*C42:C49)))</f>
        <v>Pas de note</v>
      </c>
    </row>
    <row r="43" spans="1:8" x14ac:dyDescent="0.25">
      <c r="A43" s="59"/>
      <c r="B43" s="24" t="s">
        <v>37</v>
      </c>
      <c r="C43" s="25">
        <v>15</v>
      </c>
      <c r="F43" s="61"/>
    </row>
    <row r="44" spans="1:8" x14ac:dyDescent="0.25">
      <c r="A44" s="59"/>
      <c r="B44" s="24" t="s">
        <v>38</v>
      </c>
      <c r="C44" s="25">
        <v>25</v>
      </c>
      <c r="F44" s="61"/>
    </row>
    <row r="45" spans="1:8" x14ac:dyDescent="0.25">
      <c r="A45" s="59"/>
      <c r="B45" s="2" t="s">
        <v>25</v>
      </c>
      <c r="C45" s="25">
        <v>5</v>
      </c>
      <c r="F45" s="61"/>
    </row>
    <row r="46" spans="1:8" x14ac:dyDescent="0.25">
      <c r="A46" s="59"/>
      <c r="B46" s="31" t="s">
        <v>27</v>
      </c>
      <c r="C46" s="25">
        <v>5</v>
      </c>
      <c r="F46" s="61"/>
    </row>
    <row r="47" spans="1:8" x14ac:dyDescent="0.25">
      <c r="A47" s="59"/>
      <c r="B47" s="24" t="s">
        <v>39</v>
      </c>
      <c r="C47" s="25">
        <v>10</v>
      </c>
      <c r="F47" s="61"/>
    </row>
    <row r="48" spans="1:8" x14ac:dyDescent="0.25">
      <c r="A48" s="59"/>
      <c r="B48" s="12" t="s">
        <v>28</v>
      </c>
      <c r="C48" s="25">
        <v>20</v>
      </c>
      <c r="F48" s="61"/>
    </row>
    <row r="49" spans="1:6" x14ac:dyDescent="0.25">
      <c r="A49" s="59"/>
      <c r="B49" s="2" t="s">
        <v>29</v>
      </c>
      <c r="C49" s="25">
        <v>5</v>
      </c>
      <c r="F49" s="61"/>
    </row>
    <row r="50" spans="1:6" s="37" customFormat="1" x14ac:dyDescent="0.25"/>
    <row r="51" spans="1:6" s="37" customFormat="1" x14ac:dyDescent="0.25"/>
    <row r="52" spans="1:6" s="37" customFormat="1" x14ac:dyDescent="0.25"/>
    <row r="53" spans="1:6" s="37" customFormat="1" x14ac:dyDescent="0.25"/>
    <row r="54" spans="1:6" s="37" customFormat="1" x14ac:dyDescent="0.25"/>
    <row r="55" spans="1:6" s="37" customFormat="1" x14ac:dyDescent="0.25"/>
    <row r="56" spans="1:6" s="37" customFormat="1" x14ac:dyDescent="0.25"/>
    <row r="57" spans="1:6" s="37" customFormat="1" x14ac:dyDescent="0.25"/>
    <row r="58" spans="1:6" s="37" customFormat="1" x14ac:dyDescent="0.25"/>
    <row r="59" spans="1:6" s="37" customFormat="1" x14ac:dyDescent="0.25"/>
    <row r="60" spans="1:6" s="37" customFormat="1" x14ac:dyDescent="0.25"/>
    <row r="61" spans="1:6" s="37" customFormat="1" x14ac:dyDescent="0.25"/>
    <row r="62" spans="1:6" s="37" customFormat="1" x14ac:dyDescent="0.25"/>
    <row r="63" spans="1:6" s="37" customFormat="1" x14ac:dyDescent="0.25"/>
    <row r="64" spans="1:6" s="37" customFormat="1" x14ac:dyDescent="0.25"/>
    <row r="65" s="37" customFormat="1" x14ac:dyDescent="0.25"/>
    <row r="66" s="37" customFormat="1" x14ac:dyDescent="0.25"/>
    <row r="67" s="37" customFormat="1" x14ac:dyDescent="0.25"/>
    <row r="68" s="37" customFormat="1" x14ac:dyDescent="0.25"/>
    <row r="69" s="37" customFormat="1" x14ac:dyDescent="0.25"/>
    <row r="70" s="37" customFormat="1" x14ac:dyDescent="0.25"/>
    <row r="71" s="37" customFormat="1" x14ac:dyDescent="0.25"/>
    <row r="72" s="37" customFormat="1" x14ac:dyDescent="0.25"/>
    <row r="73" s="37" customFormat="1" x14ac:dyDescent="0.25"/>
    <row r="74" s="37" customFormat="1" x14ac:dyDescent="0.25"/>
    <row r="75" s="37" customFormat="1" x14ac:dyDescent="0.25"/>
    <row r="76" s="37" customFormat="1" x14ac:dyDescent="0.25"/>
    <row r="77" s="37" customFormat="1" x14ac:dyDescent="0.25"/>
    <row r="78" s="37" customFormat="1" x14ac:dyDescent="0.25"/>
    <row r="79" s="37" customFormat="1" x14ac:dyDescent="0.25"/>
    <row r="80" s="37" customFormat="1" x14ac:dyDescent="0.25"/>
    <row r="81" s="37" customFormat="1" x14ac:dyDescent="0.25"/>
    <row r="82" s="37" customFormat="1" x14ac:dyDescent="0.25"/>
    <row r="83" s="37" customFormat="1" x14ac:dyDescent="0.25"/>
    <row r="84" s="37" customFormat="1" x14ac:dyDescent="0.25"/>
    <row r="85" s="37" customFormat="1" x14ac:dyDescent="0.25"/>
    <row r="86" s="37" customFormat="1" x14ac:dyDescent="0.25"/>
    <row r="87" s="37" customFormat="1" x14ac:dyDescent="0.25"/>
    <row r="88" s="37" customFormat="1" x14ac:dyDescent="0.25"/>
    <row r="89" s="37" customFormat="1" x14ac:dyDescent="0.25"/>
    <row r="90" s="37" customFormat="1" x14ac:dyDescent="0.25"/>
    <row r="91" s="37" customFormat="1" x14ac:dyDescent="0.25"/>
    <row r="92" s="37" customFormat="1" x14ac:dyDescent="0.25"/>
    <row r="93" s="37" customFormat="1" x14ac:dyDescent="0.25"/>
    <row r="94" s="37" customFormat="1" x14ac:dyDescent="0.25"/>
    <row r="95" s="37" customFormat="1" x14ac:dyDescent="0.25"/>
    <row r="96" s="37" customFormat="1" x14ac:dyDescent="0.25"/>
    <row r="97" s="37" customFormat="1" x14ac:dyDescent="0.25"/>
    <row r="98" s="37" customFormat="1" x14ac:dyDescent="0.25"/>
    <row r="99" s="37" customFormat="1" x14ac:dyDescent="0.25"/>
    <row r="100" s="37" customFormat="1" x14ac:dyDescent="0.25"/>
    <row r="101" s="37" customFormat="1" x14ac:dyDescent="0.25"/>
    <row r="102" s="37" customFormat="1" x14ac:dyDescent="0.25"/>
    <row r="103" s="37" customFormat="1" x14ac:dyDescent="0.25"/>
    <row r="104" s="37" customFormat="1" x14ac:dyDescent="0.25"/>
    <row r="105" s="37" customFormat="1" x14ac:dyDescent="0.25"/>
    <row r="106" s="37" customFormat="1" x14ac:dyDescent="0.25"/>
    <row r="107" s="37" customFormat="1" x14ac:dyDescent="0.25"/>
    <row r="108" s="37" customFormat="1" x14ac:dyDescent="0.25"/>
    <row r="109" s="37" customFormat="1" x14ac:dyDescent="0.25"/>
    <row r="110" s="37" customFormat="1" x14ac:dyDescent="0.25"/>
    <row r="111" s="37" customFormat="1" x14ac:dyDescent="0.25"/>
    <row r="112" s="37" customFormat="1" x14ac:dyDescent="0.25"/>
    <row r="113" s="37" customFormat="1" x14ac:dyDescent="0.25"/>
    <row r="114" s="37" customFormat="1" x14ac:dyDescent="0.25"/>
    <row r="115" s="37" customFormat="1" x14ac:dyDescent="0.25"/>
    <row r="116" s="37" customFormat="1" x14ac:dyDescent="0.25"/>
    <row r="117" s="37" customFormat="1" x14ac:dyDescent="0.25"/>
    <row r="118" s="37" customFormat="1" x14ac:dyDescent="0.25"/>
    <row r="119" s="37" customFormat="1" x14ac:dyDescent="0.25"/>
    <row r="120" s="37" customFormat="1" x14ac:dyDescent="0.25"/>
    <row r="121" s="37" customFormat="1" x14ac:dyDescent="0.25"/>
    <row r="122" s="37" customFormat="1" x14ac:dyDescent="0.25"/>
    <row r="123" s="37" customFormat="1" x14ac:dyDescent="0.25"/>
    <row r="124" s="37" customFormat="1" x14ac:dyDescent="0.25"/>
    <row r="125" s="37" customFormat="1" x14ac:dyDescent="0.25"/>
    <row r="126" s="37" customFormat="1" x14ac:dyDescent="0.25"/>
    <row r="127" s="37" customFormat="1" x14ac:dyDescent="0.25"/>
    <row r="128" s="37" customFormat="1" x14ac:dyDescent="0.25"/>
    <row r="129" s="37" customFormat="1" x14ac:dyDescent="0.25"/>
    <row r="130" s="37" customFormat="1" x14ac:dyDescent="0.25"/>
    <row r="131" s="37" customFormat="1" x14ac:dyDescent="0.25"/>
    <row r="132" s="37" customFormat="1" x14ac:dyDescent="0.25"/>
    <row r="133" s="37" customFormat="1" x14ac:dyDescent="0.25"/>
    <row r="134" s="37" customFormat="1" x14ac:dyDescent="0.25"/>
    <row r="135" s="37" customFormat="1" x14ac:dyDescent="0.25"/>
    <row r="136" s="37" customFormat="1" x14ac:dyDescent="0.25"/>
    <row r="137" s="37" customFormat="1" x14ac:dyDescent="0.25"/>
    <row r="138" s="37" customFormat="1" x14ac:dyDescent="0.25"/>
    <row r="139" s="37" customFormat="1" x14ac:dyDescent="0.25"/>
    <row r="140" s="37" customFormat="1" x14ac:dyDescent="0.25"/>
    <row r="141" s="37" customFormat="1" x14ac:dyDescent="0.25"/>
    <row r="142" s="37" customFormat="1" x14ac:dyDescent="0.25"/>
    <row r="143" s="37" customFormat="1" x14ac:dyDescent="0.25"/>
    <row r="144" s="37" customFormat="1" x14ac:dyDescent="0.25"/>
    <row r="145" s="37" customFormat="1" x14ac:dyDescent="0.25"/>
    <row r="146" s="37" customFormat="1" x14ac:dyDescent="0.25"/>
    <row r="147" s="37" customFormat="1" x14ac:dyDescent="0.25"/>
    <row r="148" s="37" customFormat="1" x14ac:dyDescent="0.25"/>
  </sheetData>
  <mergeCells count="15">
    <mergeCell ref="A50:XFD148"/>
    <mergeCell ref="H9:H13"/>
    <mergeCell ref="H32:H41"/>
    <mergeCell ref="A3:A8"/>
    <mergeCell ref="A9:A13"/>
    <mergeCell ref="A14:A20"/>
    <mergeCell ref="A32:A41"/>
    <mergeCell ref="A42:A49"/>
    <mergeCell ref="F3:F8"/>
    <mergeCell ref="F9:F13"/>
    <mergeCell ref="F14:F20"/>
    <mergeCell ref="F23:F31"/>
    <mergeCell ref="F32:F41"/>
    <mergeCell ref="F42:F49"/>
    <mergeCell ref="A23:A31"/>
  </mergeCells>
  <conditionalFormatting sqref="F3 F9 F14 F23 F32 F42">
    <cfRule type="cellIs" dxfId="5" priority="1" operator="between">
      <formula>8.00001</formula>
      <formula>9.999</formula>
    </cfRule>
    <cfRule type="cellIs" dxfId="4" priority="2" operator="lessThan">
      <formula>8</formula>
    </cfRule>
    <cfRule type="cellIs" dxfId="3" priority="3" operator="greaterThan">
      <formula>9.999999999</formula>
    </cfRule>
  </conditionalFormatting>
  <pageMargins left="0.7" right="0.7" top="0.75" bottom="0.75" header="0.3" footer="0.3"/>
  <pageSetup paperSize="9"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F49367-D644-4DA1-B779-799F6F01E753}">
  <sheetPr codeName="Feuil4"/>
  <dimension ref="A2:D11"/>
  <sheetViews>
    <sheetView workbookViewId="0">
      <selection activeCell="C40" sqref="C40"/>
    </sheetView>
  </sheetViews>
  <sheetFormatPr baseColWidth="10" defaultColWidth="12.42578125" defaultRowHeight="15" x14ac:dyDescent="0.25"/>
  <cols>
    <col min="2" max="2" width="45.28515625" customWidth="1"/>
    <col min="3" max="3" width="36.28515625" customWidth="1"/>
    <col min="4" max="4" width="31.42578125" customWidth="1"/>
  </cols>
  <sheetData>
    <row r="2" spans="1:4" x14ac:dyDescent="0.25">
      <c r="D2" t="s">
        <v>41</v>
      </c>
    </row>
    <row r="4" spans="1:4" ht="50.25" customHeight="1" x14ac:dyDescent="0.25">
      <c r="A4" s="62" t="s">
        <v>42</v>
      </c>
      <c r="B4" s="62"/>
      <c r="C4" s="35" t="e">
        <f>AVERAGE('Moy - BUT1'!F3:F8,'Moy - BUT1'!F23:F31)</f>
        <v>#DIV/0!</v>
      </c>
      <c r="D4" t="e">
        <f>IF(C4&lt;8,"Insuffisant",IF(C4&lt;=10,"Passable","Bien"))</f>
        <v>#DIV/0!</v>
      </c>
    </row>
    <row r="5" spans="1:4" ht="51.75" customHeight="1" x14ac:dyDescent="0.25">
      <c r="A5" s="62" t="s">
        <v>8</v>
      </c>
      <c r="B5" s="62"/>
      <c r="C5" s="35">
        <f>AVERAGE('Moy - BUT1'!F9:F13,'Moy - BUT1'!F32:F41)</f>
        <v>14.424242539839311</v>
      </c>
      <c r="D5" t="str">
        <f t="shared" ref="D5:D6" si="0">IF(C5&lt;8,"Insuffisant",IF(C5&lt;=10,"Passable","Bien"))</f>
        <v>Bien</v>
      </c>
    </row>
    <row r="6" spans="1:4" ht="63.75" customHeight="1" x14ac:dyDescent="0.25">
      <c r="A6" s="62" t="s">
        <v>43</v>
      </c>
      <c r="B6" s="62"/>
      <c r="C6" s="35" t="e">
        <f>AVERAGE('Moy - BUT1'!F14:F20,'Moy - BUT1'!F42:F49)</f>
        <v>#DIV/0!</v>
      </c>
      <c r="D6" t="e">
        <f t="shared" si="0"/>
        <v>#DIV/0!</v>
      </c>
    </row>
    <row r="8" spans="1:4" x14ac:dyDescent="0.25">
      <c r="A8" s="36" t="str">
        <f>IF(AND(COUNTIF(C4:C6,"&gt;10")&gt;=2, COUNTIF(C4:C6, "&gt;8")=3), "Passage en deuxième année", "Vous ne passez pas en deuxieme année ")</f>
        <v xml:space="preserve">Vous ne passez pas en deuxieme année </v>
      </c>
      <c r="B8" s="36"/>
      <c r="C8" s="36"/>
    </row>
    <row r="11" spans="1:4" x14ac:dyDescent="0.25">
      <c r="A11" t="s">
        <v>0</v>
      </c>
    </row>
  </sheetData>
  <mergeCells count="4">
    <mergeCell ref="A4:B4"/>
    <mergeCell ref="A5:B5"/>
    <mergeCell ref="A6:B6"/>
    <mergeCell ref="A8:C8"/>
  </mergeCells>
  <conditionalFormatting sqref="C4:C6">
    <cfRule type="cellIs" dxfId="2" priority="1" operator="between">
      <formula>8</formula>
      <formula>10</formula>
    </cfRule>
    <cfRule type="cellIs" dxfId="1" priority="3" operator="lessThan">
      <formula>8</formula>
    </cfRule>
  </conditionalFormatting>
  <conditionalFormatting sqref="C5:C6">
    <cfRule type="cellIs" dxfId="0" priority="2" operator="greaterThan">
      <formula>10</formula>
    </cfRule>
  </conditionalFormatting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2052" r:id="rId4" name="MajBTN">
          <controlPr defaultSize="0" autoLine="0" r:id="rId5">
            <anchor moveWithCells="1">
              <from>
                <xdr:col>8</xdr:col>
                <xdr:colOff>142875</xdr:colOff>
                <xdr:row>11</xdr:row>
                <xdr:rowOff>28575</xdr:rowOff>
              </from>
              <to>
                <xdr:col>11</xdr:col>
                <xdr:colOff>161925</xdr:colOff>
                <xdr:row>14</xdr:row>
                <xdr:rowOff>66675</xdr:rowOff>
              </to>
            </anchor>
          </controlPr>
        </control>
      </mc:Choice>
      <mc:Fallback>
        <control shapeId="2052" r:id="rId4" name="MajBTN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DF885744-405E-49AA-951E-EEAF8DCEFFE0}">
          <x14:formula1>
            <xm:f>Feuil1!$A$1:$A$2</xm:f>
          </x14:formula1>
          <xm:sqref>A11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E5E9C2-0EFB-4F3F-9D0E-B4CE1BA24379}">
  <sheetPr codeName="Feuil3"/>
  <dimension ref="A1:K56"/>
  <sheetViews>
    <sheetView zoomScale="85" zoomScaleNormal="85" workbookViewId="0">
      <selection activeCell="D18" sqref="D18"/>
    </sheetView>
  </sheetViews>
  <sheetFormatPr baseColWidth="10" defaultRowHeight="15" x14ac:dyDescent="0.25"/>
  <cols>
    <col min="1" max="1" width="10.7109375" bestFit="1" customWidth="1"/>
    <col min="3" max="3" width="64.28515625" bestFit="1" customWidth="1"/>
    <col min="4" max="4" width="11.42578125" customWidth="1"/>
  </cols>
  <sheetData>
    <row r="1" spans="1:11" x14ac:dyDescent="0.25">
      <c r="A1" t="s">
        <v>0</v>
      </c>
      <c r="E1" s="35" t="str" cm="1">
        <f t="array" ref="E1:E6">'Moy - BUT1'!F3:F8</f>
        <v>Pas de note</v>
      </c>
      <c r="F1" s="35" cm="1">
        <f t="array" ref="F1:F5">'Moy - BUT1'!F9:F13</f>
        <v>14.424242539839311</v>
      </c>
      <c r="G1" s="35" t="str" cm="1">
        <f t="array" ref="G1:G7">'Moy - BUT1'!F14:F20</f>
        <v>Pas de note</v>
      </c>
      <c r="I1" s="35" t="str" cm="1">
        <f t="array" ref="I1:I9">'Moy - BUT1'!F23:F31</f>
        <v>Pas de note</v>
      </c>
      <c r="J1" s="35" t="str" cm="1">
        <f t="array" ref="J1:J10">'Moy - BUT1'!F32:F41</f>
        <v>Pas de note</v>
      </c>
      <c r="K1" s="35" t="str" cm="1">
        <f t="array" ref="K1:K8">'Moy - BUT1'!F42:F49</f>
        <v>Pas de note</v>
      </c>
    </row>
    <row r="2" spans="1:11" x14ac:dyDescent="0.25">
      <c r="A2" t="s">
        <v>20</v>
      </c>
      <c r="E2">
        <v>0</v>
      </c>
      <c r="F2">
        <v>0</v>
      </c>
      <c r="G2">
        <v>0</v>
      </c>
      <c r="I2">
        <v>0</v>
      </c>
      <c r="J2">
        <v>0</v>
      </c>
      <c r="K2">
        <v>0</v>
      </c>
    </row>
    <row r="3" spans="1:11" x14ac:dyDescent="0.25">
      <c r="E3">
        <v>0</v>
      </c>
      <c r="F3">
        <v>0</v>
      </c>
      <c r="G3">
        <v>0</v>
      </c>
      <c r="I3">
        <v>0</v>
      </c>
      <c r="J3">
        <v>0</v>
      </c>
      <c r="K3">
        <v>0</v>
      </c>
    </row>
    <row r="4" spans="1:11" x14ac:dyDescent="0.25">
      <c r="E4">
        <v>0</v>
      </c>
      <c r="F4">
        <v>0</v>
      </c>
      <c r="G4">
        <v>0</v>
      </c>
      <c r="I4">
        <v>0</v>
      </c>
      <c r="J4">
        <v>0</v>
      </c>
      <c r="K4">
        <v>0</v>
      </c>
    </row>
    <row r="5" spans="1:11" x14ac:dyDescent="0.25">
      <c r="E5">
        <v>0</v>
      </c>
      <c r="F5">
        <v>0</v>
      </c>
      <c r="G5">
        <v>0</v>
      </c>
      <c r="I5">
        <v>0</v>
      </c>
      <c r="J5">
        <v>0</v>
      </c>
      <c r="K5">
        <v>0</v>
      </c>
    </row>
    <row r="6" spans="1:11" x14ac:dyDescent="0.25">
      <c r="E6">
        <v>0</v>
      </c>
      <c r="G6">
        <v>0</v>
      </c>
      <c r="I6">
        <v>0</v>
      </c>
      <c r="J6">
        <v>0</v>
      </c>
      <c r="K6">
        <v>0</v>
      </c>
    </row>
    <row r="7" spans="1:11" x14ac:dyDescent="0.25">
      <c r="G7">
        <v>0</v>
      </c>
      <c r="I7">
        <v>0</v>
      </c>
      <c r="J7">
        <v>0</v>
      </c>
      <c r="K7">
        <v>0</v>
      </c>
    </row>
    <row r="8" spans="1:11" ht="15" customHeight="1" x14ac:dyDescent="0.25">
      <c r="I8">
        <v>0</v>
      </c>
      <c r="J8">
        <v>0</v>
      </c>
      <c r="K8">
        <v>0</v>
      </c>
    </row>
    <row r="9" spans="1:11" x14ac:dyDescent="0.25">
      <c r="I9">
        <v>0</v>
      </c>
      <c r="J9">
        <v>0</v>
      </c>
    </row>
    <row r="10" spans="1:11" x14ac:dyDescent="0.25">
      <c r="B10" s="57" t="s">
        <v>1</v>
      </c>
      <c r="C10" s="20" t="s">
        <v>2</v>
      </c>
      <c r="D10" t="str">
        <f>IF(OR('Moy - BUT1'!D3=0,'Moy - BUT1'!D3= "Moyenne Bloquée"),"",'Moy - BUT1'!D3)</f>
        <v/>
      </c>
      <c r="J10">
        <v>0</v>
      </c>
    </row>
    <row r="11" spans="1:11" x14ac:dyDescent="0.25">
      <c r="B11" s="57"/>
      <c r="C11" s="20" t="s">
        <v>3</v>
      </c>
      <c r="D11" t="str">
        <f>IF(OR('Moy - BUT1'!D4=0,'Moy - BUT1'!D4= "Moyenne Bloquée"),"",'Moy - BUT1'!D4)</f>
        <v/>
      </c>
    </row>
    <row r="12" spans="1:11" x14ac:dyDescent="0.25">
      <c r="B12" s="57"/>
      <c r="C12" s="20" t="s">
        <v>4</v>
      </c>
      <c r="D12" t="str">
        <f>IF(OR('Moy - BUT1'!D5=0,'Moy - BUT1'!D5= "Moyenne Bloquée"),"",'Moy - BUT1'!D5)</f>
        <v/>
      </c>
    </row>
    <row r="13" spans="1:11" x14ac:dyDescent="0.25">
      <c r="B13" s="57"/>
      <c r="C13" s="2" t="s">
        <v>40</v>
      </c>
      <c r="D13" t="str">
        <f>IF(OR('Moy - BUT1'!D6=0,'Moy - BUT1'!D6= "Moyenne Bloquée"),"",'Moy - BUT1'!D6)</f>
        <v/>
      </c>
    </row>
    <row r="14" spans="1:11" x14ac:dyDescent="0.25">
      <c r="B14" s="57"/>
      <c r="C14" s="20" t="s">
        <v>6</v>
      </c>
      <c r="D14" t="str">
        <f>IF(OR('Moy - BUT1'!D7=0,'Moy - BUT1'!D7= "Moyenne Bloquée"),"",'Moy - BUT1'!D7)</f>
        <v/>
      </c>
    </row>
    <row r="15" spans="1:11" x14ac:dyDescent="0.25">
      <c r="B15" s="57"/>
      <c r="C15" s="20" t="s">
        <v>7</v>
      </c>
      <c r="D15" t="str">
        <f>IF(OR('Moy - BUT1'!D8=0,'Moy - BUT1'!D8= "Moyenne Bloquée"),"",'Moy - BUT1'!D8)</f>
        <v/>
      </c>
    </row>
    <row r="16" spans="1:11" x14ac:dyDescent="0.25">
      <c r="B16" s="58" t="s">
        <v>8</v>
      </c>
      <c r="C16" s="22" t="s">
        <v>9</v>
      </c>
      <c r="D16">
        <f>IF(OR('Moy - BUT1'!D9=0,'Moy - BUT1'!D9= "Moyenne Bloquée"),"",'Moy - BUT1'!D9)</f>
        <v>17.5</v>
      </c>
    </row>
    <row r="17" spans="2:4" x14ac:dyDescent="0.25">
      <c r="B17" s="58"/>
      <c r="C17" s="22" t="s">
        <v>10</v>
      </c>
      <c r="D17">
        <f>IF(OR('Moy - BUT1'!D10=0,'Moy - BUT1'!D10= "Moyenne Bloquée"),"",'Moy - BUT1'!D10)</f>
        <v>18</v>
      </c>
    </row>
    <row r="18" spans="2:4" x14ac:dyDescent="0.25">
      <c r="B18" s="58"/>
      <c r="C18" s="22" t="s">
        <v>11</v>
      </c>
      <c r="D18">
        <f>IF(OR('Moy - BUT1'!D11=0,'Moy - BUT1'!D11= "Moyenne Bloquée"),"",'Moy - BUT1'!D11)</f>
        <v>8.6666669845581055</v>
      </c>
    </row>
    <row r="19" spans="2:4" x14ac:dyDescent="0.25">
      <c r="B19" s="58"/>
      <c r="C19" s="2" t="s">
        <v>5</v>
      </c>
      <c r="D19" t="str">
        <f>IF(OR('Moy - BUT1'!D12=0,'Moy - BUT1'!D12= "Moyenne Bloquée"),"",'Moy - BUT1'!D12)</f>
        <v/>
      </c>
    </row>
    <row r="20" spans="2:4" ht="30" x14ac:dyDescent="0.25">
      <c r="B20" s="58"/>
      <c r="C20" s="22" t="s">
        <v>12</v>
      </c>
      <c r="D20" t="str">
        <f>IF(OR('Moy - BUT1'!D13=0,'Moy - BUT1'!D13= "Moyenne Bloquée"),"",'Moy - BUT1'!D13)</f>
        <v/>
      </c>
    </row>
    <row r="21" spans="2:4" x14ac:dyDescent="0.25">
      <c r="B21" s="59" t="s">
        <v>13</v>
      </c>
      <c r="C21" s="24" t="s">
        <v>14</v>
      </c>
      <c r="D21" t="str">
        <f>IF(OR('Moy - BUT1'!D14=0,'Moy - BUT1'!D14= "Moyenne Bloquée"),"",'Moy - BUT1'!D14)</f>
        <v/>
      </c>
    </row>
    <row r="22" spans="2:4" x14ac:dyDescent="0.25">
      <c r="B22" s="59"/>
      <c r="C22" s="24" t="s">
        <v>15</v>
      </c>
      <c r="D22" t="str">
        <f>IF(OR('Moy - BUT1'!D15=0,'Moy - BUT1'!D15= "Moyenne Bloquée"),"",'Moy - BUT1'!D15)</f>
        <v/>
      </c>
    </row>
    <row r="23" spans="2:4" ht="30" x14ac:dyDescent="0.25">
      <c r="B23" s="59"/>
      <c r="C23" s="24" t="s">
        <v>16</v>
      </c>
      <c r="D23" t="str">
        <f>IF(OR('Moy - BUT1'!D16=0,'Moy - BUT1'!D16= "Moyenne Bloquée"),"",'Moy - BUT1'!D16)</f>
        <v/>
      </c>
    </row>
    <row r="24" spans="2:4" x14ac:dyDescent="0.25">
      <c r="B24" s="59"/>
      <c r="C24" s="2" t="s">
        <v>5</v>
      </c>
      <c r="D24" t="str">
        <f>IF(OR('Moy - BUT1'!D17=0,'Moy - BUT1'!D17= "Moyenne Bloquée"),"",'Moy - BUT1'!D17)</f>
        <v/>
      </c>
    </row>
    <row r="25" spans="2:4" x14ac:dyDescent="0.25">
      <c r="B25" s="59"/>
      <c r="C25" s="24" t="s">
        <v>17</v>
      </c>
      <c r="D25" t="str">
        <f>IF(OR('Moy - BUT1'!D18=0,'Moy - BUT1'!D18= "Moyenne Bloquée"),"",'Moy - BUT1'!D18)</f>
        <v/>
      </c>
    </row>
    <row r="26" spans="2:4" x14ac:dyDescent="0.25">
      <c r="B26" s="59"/>
      <c r="C26" s="24" t="s">
        <v>18</v>
      </c>
      <c r="D26" t="str">
        <f>IF(OR('Moy - BUT1'!D19=0,'Moy - BUT1'!D19= "Moyenne Bloquée"),"",'Moy - BUT1'!D19)</f>
        <v/>
      </c>
    </row>
    <row r="27" spans="2:4" x14ac:dyDescent="0.25">
      <c r="B27" s="59"/>
      <c r="C27" s="24" t="s">
        <v>19</v>
      </c>
      <c r="D27" t="str">
        <f>IF(OR('Moy - BUT1'!D20=0,'Moy - BUT1'!D20= "Moyenne Bloquée"),"",'Moy - BUT1'!D20)</f>
        <v/>
      </c>
    </row>
    <row r="28" spans="2:4" x14ac:dyDescent="0.25">
      <c r="D28" t="str">
        <f>IF(OR('Moy - BUT1'!D21=0,'Moy - BUT1'!D21= "Moyenne Bloquée"),"",'Moy - BUT1'!D21)</f>
        <v/>
      </c>
    </row>
    <row r="29" spans="2:4" x14ac:dyDescent="0.25">
      <c r="D29" t="str">
        <f>IF(OR('Moy - BUT1'!D22=0,'Moy - BUT1'!D22= "Moyenne Bloquée"),"",'Moy - BUT1'!D22)</f>
        <v/>
      </c>
    </row>
    <row r="30" spans="2:4" x14ac:dyDescent="0.25">
      <c r="B30" s="57" t="s">
        <v>1</v>
      </c>
      <c r="C30" s="20" t="s">
        <v>21</v>
      </c>
      <c r="D30" t="str">
        <f>IF(OR('Moy - BUT1'!D23=0,'Moy - BUT1'!D23= "Moyenne Bloquée"),"",'Moy - BUT1'!D23)</f>
        <v/>
      </c>
    </row>
    <row r="31" spans="2:4" x14ac:dyDescent="0.25">
      <c r="B31" s="57"/>
      <c r="C31" s="20" t="s">
        <v>22</v>
      </c>
      <c r="D31" t="str">
        <f>IF(OR('Moy - BUT1'!D24=0,'Moy - BUT1'!D24= "Moyenne Bloquée"),"",'Moy - BUT1'!D24)</f>
        <v/>
      </c>
    </row>
    <row r="32" spans="2:4" x14ac:dyDescent="0.25">
      <c r="B32" s="57"/>
      <c r="C32" s="20" t="s">
        <v>23</v>
      </c>
      <c r="D32" t="str">
        <f>IF(OR('Moy - BUT1'!D25=0,'Moy - BUT1'!D25= "Moyenne Bloquée"),"",'Moy - BUT1'!D25)</f>
        <v/>
      </c>
    </row>
    <row r="33" spans="2:4" x14ac:dyDescent="0.25">
      <c r="B33" s="57"/>
      <c r="C33" s="20" t="s">
        <v>24</v>
      </c>
      <c r="D33" t="str">
        <f>IF(OR('Moy - BUT1'!D26=0,'Moy - BUT1'!D26= "Moyenne Bloquée"),"",'Moy - BUT1'!D26)</f>
        <v/>
      </c>
    </row>
    <row r="34" spans="2:4" x14ac:dyDescent="0.25">
      <c r="B34" s="57"/>
      <c r="C34" s="2" t="s">
        <v>25</v>
      </c>
      <c r="D34" t="str">
        <f>IF(OR('Moy - BUT1'!D27=0,'Moy - BUT1'!D27= "Moyenne Bloquée"),"",'Moy - BUT1'!D27)</f>
        <v/>
      </c>
    </row>
    <row r="35" spans="2:4" x14ac:dyDescent="0.25">
      <c r="B35" s="57"/>
      <c r="C35" s="20" t="s">
        <v>26</v>
      </c>
      <c r="D35" t="str">
        <f>IF(OR('Moy - BUT1'!D28=0,'Moy - BUT1'!D28= "Moyenne Bloquée"),"",'Moy - BUT1'!D28)</f>
        <v/>
      </c>
    </row>
    <row r="36" spans="2:4" x14ac:dyDescent="0.25">
      <c r="B36" s="57"/>
      <c r="C36" s="12" t="s">
        <v>27</v>
      </c>
      <c r="D36" t="str">
        <f>IF(OR('Moy - BUT1'!D29=0,'Moy - BUT1'!D29= "Moyenne Bloquée"),"",'Moy - BUT1'!D29)</f>
        <v/>
      </c>
    </row>
    <row r="37" spans="2:4" x14ac:dyDescent="0.25">
      <c r="B37" s="57"/>
      <c r="C37" s="12" t="s">
        <v>28</v>
      </c>
      <c r="D37" t="str">
        <f>IF(OR('Moy - BUT1'!D30=0,'Moy - BUT1'!D30= "Moyenne Bloquée"),"",'Moy - BUT1'!D30)</f>
        <v/>
      </c>
    </row>
    <row r="38" spans="2:4" x14ac:dyDescent="0.25">
      <c r="B38" s="57"/>
      <c r="C38" s="2" t="s">
        <v>29</v>
      </c>
      <c r="D38" t="str">
        <f>IF(OR('Moy - BUT1'!D31=0,'Moy - BUT1'!D31= "Moyenne Bloquée"),"",'Moy - BUT1'!D31)</f>
        <v/>
      </c>
    </row>
    <row r="39" spans="2:4" x14ac:dyDescent="0.25">
      <c r="B39" s="60" t="s">
        <v>8</v>
      </c>
      <c r="C39" s="29" t="s">
        <v>30</v>
      </c>
      <c r="D39" t="str">
        <f>IF(OR('Moy - BUT1'!D32=0,'Moy - BUT1'!D32= "Moyenne Bloquée"),"",'Moy - BUT1'!D32)</f>
        <v/>
      </c>
    </row>
    <row r="40" spans="2:4" x14ac:dyDescent="0.25">
      <c r="B40" s="60"/>
      <c r="C40" s="29" t="s">
        <v>31</v>
      </c>
      <c r="D40" t="str">
        <f>IF(OR('Moy - BUT1'!D33=0,'Moy - BUT1'!D33= "Moyenne Bloquée"),"",'Moy - BUT1'!D33)</f>
        <v/>
      </c>
    </row>
    <row r="41" spans="2:4" x14ac:dyDescent="0.25">
      <c r="B41" s="60"/>
      <c r="C41" s="29" t="s">
        <v>32</v>
      </c>
      <c r="D41" t="str">
        <f>IF(OR('Moy - BUT1'!D34=0,'Moy - BUT1'!D34= "Moyenne Bloquée"),"",'Moy - BUT1'!D34)</f>
        <v/>
      </c>
    </row>
    <row r="42" spans="2:4" x14ac:dyDescent="0.25">
      <c r="B42" s="60"/>
      <c r="C42" s="29" t="s">
        <v>33</v>
      </c>
      <c r="D42" t="str">
        <f>IF(OR('Moy - BUT1'!D35=0,'Moy - BUT1'!D35= "Moyenne Bloquée"),"",'Moy - BUT1'!D35)</f>
        <v/>
      </c>
    </row>
    <row r="43" spans="2:4" x14ac:dyDescent="0.25">
      <c r="B43" s="60"/>
      <c r="C43" s="2" t="s">
        <v>25</v>
      </c>
      <c r="D43" t="str">
        <f>IF(OR('Moy - BUT1'!D36=0,'Moy - BUT1'!D36= "Moyenne Bloquée"),"",'Moy - BUT1'!D36)</f>
        <v/>
      </c>
    </row>
    <row r="44" spans="2:4" x14ac:dyDescent="0.25">
      <c r="B44" s="60"/>
      <c r="C44" s="29" t="s">
        <v>34</v>
      </c>
      <c r="D44" t="str">
        <f>IF(OR('Moy - BUT1'!D37=0,'Moy - BUT1'!D37= "Moyenne Bloquée"),"",'Moy - BUT1'!D37)</f>
        <v/>
      </c>
    </row>
    <row r="45" spans="2:4" x14ac:dyDescent="0.25">
      <c r="B45" s="60"/>
      <c r="C45" s="29" t="s">
        <v>35</v>
      </c>
      <c r="D45" t="str">
        <f>IF(OR('Moy - BUT1'!D38=0,'Moy - BUT1'!D38= "Moyenne Bloquée"),"",'Moy - BUT1'!D38)</f>
        <v/>
      </c>
    </row>
    <row r="46" spans="2:4" x14ac:dyDescent="0.25">
      <c r="B46" s="60"/>
      <c r="C46" s="12" t="s">
        <v>27</v>
      </c>
      <c r="D46" t="str">
        <f>IF(OR('Moy - BUT1'!D39=0,'Moy - BUT1'!D39= "Moyenne Bloquée"),"",'Moy - BUT1'!D39)</f>
        <v/>
      </c>
    </row>
    <row r="47" spans="2:4" x14ac:dyDescent="0.25">
      <c r="B47" s="60"/>
      <c r="C47" s="12" t="s">
        <v>28</v>
      </c>
      <c r="D47" t="str">
        <f>IF(OR('Moy - BUT1'!D40=0,'Moy - BUT1'!D40= "Moyenne Bloquée"),"",'Moy - BUT1'!D40)</f>
        <v/>
      </c>
    </row>
    <row r="48" spans="2:4" x14ac:dyDescent="0.25">
      <c r="B48" s="60"/>
      <c r="C48" s="2" t="s">
        <v>29</v>
      </c>
      <c r="D48" t="str">
        <f>IF(OR('Moy - BUT1'!D41=0,'Moy - BUT1'!D41= "Moyenne Bloquée"),"",'Moy - BUT1'!D41)</f>
        <v/>
      </c>
    </row>
    <row r="49" spans="2:4" x14ac:dyDescent="0.25">
      <c r="B49" s="59" t="s">
        <v>13</v>
      </c>
      <c r="C49" s="24" t="s">
        <v>36</v>
      </c>
      <c r="D49" t="str">
        <f>IF(OR('Moy - BUT1'!D42=0,'Moy - BUT1'!D42= "Moyenne Bloquée"),"",'Moy - BUT1'!D42)</f>
        <v/>
      </c>
    </row>
    <row r="50" spans="2:4" x14ac:dyDescent="0.25">
      <c r="B50" s="59"/>
      <c r="C50" s="24" t="s">
        <v>37</v>
      </c>
      <c r="D50" t="str">
        <f>IF(OR('Moy - BUT1'!D43=0,'Moy - BUT1'!D43= "Moyenne Bloquée"),"",'Moy - BUT1'!D43)</f>
        <v/>
      </c>
    </row>
    <row r="51" spans="2:4" x14ac:dyDescent="0.25">
      <c r="B51" s="59"/>
      <c r="C51" s="24" t="s">
        <v>38</v>
      </c>
      <c r="D51" t="str">
        <f>IF(OR('Moy - BUT1'!D44=0,'Moy - BUT1'!D44= "Moyenne Bloquée"),"",'Moy - BUT1'!D44)</f>
        <v/>
      </c>
    </row>
    <row r="52" spans="2:4" x14ac:dyDescent="0.25">
      <c r="B52" s="59"/>
      <c r="C52" s="2" t="s">
        <v>25</v>
      </c>
      <c r="D52" t="str">
        <f>IF(OR('Moy - BUT1'!D45=0,'Moy - BUT1'!D45= "Moyenne Bloquée"),"",'Moy - BUT1'!D45)</f>
        <v/>
      </c>
    </row>
    <row r="53" spans="2:4" x14ac:dyDescent="0.25">
      <c r="B53" s="59"/>
      <c r="C53" s="31" t="s">
        <v>27</v>
      </c>
      <c r="D53" t="str">
        <f>IF(OR('Moy - BUT1'!D46=0,'Moy - BUT1'!D46= "Moyenne Bloquée"),"",'Moy - BUT1'!D46)</f>
        <v/>
      </c>
    </row>
    <row r="54" spans="2:4" x14ac:dyDescent="0.25">
      <c r="B54" s="59"/>
      <c r="C54" s="24" t="s">
        <v>39</v>
      </c>
      <c r="D54" t="str">
        <f>IF(OR('Moy - BUT1'!D47=0,'Moy - BUT1'!D47= "Moyenne Bloquée"),"",'Moy - BUT1'!D47)</f>
        <v/>
      </c>
    </row>
    <row r="55" spans="2:4" x14ac:dyDescent="0.25">
      <c r="B55" s="59"/>
      <c r="C55" s="12" t="s">
        <v>28</v>
      </c>
      <c r="D55" t="str">
        <f>IF(OR('Moy - BUT1'!D48=0,'Moy - BUT1'!D48= "Moyenne Bloquée"),"",'Moy - BUT1'!D48)</f>
        <v/>
      </c>
    </row>
    <row r="56" spans="2:4" x14ac:dyDescent="0.25">
      <c r="B56" s="59"/>
      <c r="C56" s="2" t="s">
        <v>29</v>
      </c>
      <c r="D56" t="str">
        <f>IF(OR('Moy - BUT1'!D49=0,'Moy - BUT1'!D49= "Moyenne Bloquée"),"",'Moy - BUT1'!D49)</f>
        <v/>
      </c>
    </row>
  </sheetData>
  <mergeCells count="6">
    <mergeCell ref="B30:B38"/>
    <mergeCell ref="B39:B48"/>
    <mergeCell ref="B49:B56"/>
    <mergeCell ref="B10:B15"/>
    <mergeCell ref="B16:B20"/>
    <mergeCell ref="B21:B27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5</vt:i4>
      </vt:variant>
      <vt:variant>
        <vt:lpstr>Plages nommées</vt:lpstr>
      </vt:variant>
      <vt:variant>
        <vt:i4>2</vt:i4>
      </vt:variant>
    </vt:vector>
  </HeadingPairs>
  <TitlesOfParts>
    <vt:vector size="7" baseType="lpstr">
      <vt:lpstr>Menu</vt:lpstr>
      <vt:lpstr>Coef - BUT1</vt:lpstr>
      <vt:lpstr>Moy - BUT1</vt:lpstr>
      <vt:lpstr>Recap</vt:lpstr>
      <vt:lpstr>Feuil1</vt:lpstr>
      <vt:lpstr>NoteSem1</vt:lpstr>
      <vt:lpstr>NoteSem2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paul esthor</dc:creator>
  <cp:lastModifiedBy>paul esthor</cp:lastModifiedBy>
  <dcterms:created xsi:type="dcterms:W3CDTF">2024-12-16T10:28:21Z</dcterms:created>
  <dcterms:modified xsi:type="dcterms:W3CDTF">2025-04-28T15:21:49Z</dcterms:modified>
</cp:coreProperties>
</file>